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1.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pivotTables/pivotTable2.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mc:AlternateContent xmlns:mc="http://schemas.openxmlformats.org/markup-compatibility/2006">
    <mc:Choice Requires="x15">
      <x15ac:absPath xmlns:x15ac="http://schemas.microsoft.com/office/spreadsheetml/2010/11/ac" url="D:\Data Science\Data Science Course - Internshala\1. Excel\Project\"/>
    </mc:Choice>
  </mc:AlternateContent>
  <xr:revisionPtr revIDLastSave="0" documentId="13_ncr:1_{713F7F72-9146-46B8-BBBC-64F21FB7D267}" xr6:coauthVersionLast="47" xr6:coauthVersionMax="47" xr10:uidLastSave="{00000000-0000-0000-0000-000000000000}"/>
  <bookViews>
    <workbookView xWindow="-108" yWindow="-108" windowWidth="23256" windowHeight="13176" tabRatio="889" xr2:uid="{00000000-000D-0000-FFFF-FFFF00000000}"/>
  </bookViews>
  <sheets>
    <sheet name="Final Solution" sheetId="5" r:id="rId1"/>
    <sheet name="Weight Log Info Cleaned" sheetId="3" r:id="rId2"/>
    <sheet name="Heartrate Cleaned" sheetId="2" r:id="rId3"/>
    <sheet name="Wgt &amp; Heartrate Sheets Combined" sheetId="7" r:id="rId4"/>
    <sheet name="Potential Customers (Weight)" sheetId="1" r:id="rId5"/>
    <sheet name="Potential Customers (Heartbeat)" sheetId="6" r:id="rId6"/>
  </sheets>
  <definedNames>
    <definedName name="_xlnm._FilterDatabase" localSheetId="1" hidden="1">'Weight Log Info Cleaned'!$A$1:$C$68</definedName>
    <definedName name="_xlnm._FilterDatabase" localSheetId="3" hidden="1">'Wgt &amp; Heartrate Sheets Combined'!$A$1:$C$68</definedName>
  </definedNames>
  <calcPr calcId="191029"/>
  <pivotCaches>
    <pivotCache cacheId="0" r:id="rId7"/>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7" l="1"/>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D21608-6BD2-4F2F-93C9-5DE5988FB128}" keepAlive="1" name="Query - heartrate_seconds_merged" description="Connection to the 'heartrate_seconds_merged' query in the workbook." type="5" refreshedVersion="0" background="1">
    <dbPr connection="Provider=Microsoft.Mashup.OleDb.1;Data Source=$Workbook$;Location=heartrate_seconds_merged;Extended Properties=&quot;&quot;" command="SELECT * FROM [heartrate_seconds_merged]"/>
  </connection>
  <connection id="2" xr16:uid="{27877693-BC97-45EA-899A-A950871EEE1F}" keepAlive="1" name="Query - weightLogInfo_merged" description="Connection to the 'weightLogInfo_merged' query in the workbook." type="5" refreshedVersion="0" background="1">
    <dbPr connection="Provider=Microsoft.Mashup.OleDb.1;Data Source=$Workbook$;Location=weightLogInfo_merged;Extended Properties=&quot;&quot;" command="SELECT * FROM [weightLogInfo_merged]"/>
  </connection>
</connections>
</file>

<file path=xl/sharedStrings.xml><?xml version="1.0" encoding="utf-8"?>
<sst xmlns="http://schemas.openxmlformats.org/spreadsheetml/2006/main" count="24" uniqueCount="19">
  <si>
    <t>Id</t>
  </si>
  <si>
    <t>Value</t>
  </si>
  <si>
    <t>Weight_Kg</t>
  </si>
  <si>
    <t>BMI</t>
  </si>
  <si>
    <t>Average BMI</t>
  </si>
  <si>
    <t>Customer Id</t>
  </si>
  <si>
    <t>Heartbeat</t>
  </si>
  <si>
    <r>
      <rPr>
        <b/>
        <sz val="12"/>
        <color theme="1"/>
        <rFont val="Calibri"/>
        <family val="2"/>
        <scheme val="minor"/>
      </rPr>
      <t>NOTE:</t>
    </r>
    <r>
      <rPr>
        <sz val="11"/>
        <color theme="1"/>
        <rFont val="Calibri"/>
        <family val="2"/>
        <scheme val="minor"/>
      </rPr>
      <t xml:space="preserve"> Cleaned the dataset in Power Query by removing "Time" column as it was not necessary for our analysis. Also as the dataset was very huge, sorted the "Value" column in decending order so as to filter only those values which were above 185, as stated in the problem statement. At last Loaded the dataset into Excel and converted the table to range using the "Convert to Range" option from Table Design for easy analysis and reduce the risk of giving Source file errors while submitting, as data would have still be linked to the data source.</t>
    </r>
  </si>
  <si>
    <r>
      <rPr>
        <b/>
        <sz val="12"/>
        <color theme="1"/>
        <rFont val="Calibri"/>
        <family val="2"/>
        <scheme val="minor"/>
      </rPr>
      <t>NOTE:</t>
    </r>
    <r>
      <rPr>
        <sz val="11"/>
        <color theme="1"/>
        <rFont val="Calibri"/>
        <family val="2"/>
        <scheme val="minor"/>
      </rPr>
      <t xml:space="preserve"> Removed Unnecessary columns, formatted numeric columns (Weight_Kg and BMI) to show only 2 decimal place values in Power Query. Then Loaded the dataset to Excel and converted the table to range using the "Convert to Range" option from Table Design for easy analysis and reduce the risk of giving Source file errors while submitting, as data would have still be linked to the data source.</t>
    </r>
  </si>
  <si>
    <t>LeanFit's Weight Loss Plan</t>
  </si>
  <si>
    <t>Heartbeat Value</t>
  </si>
  <si>
    <t>Used XLOOKUP to combine both the Weight Log Info and Heartrate dataset.</t>
  </si>
  <si>
    <r>
      <t xml:space="preserve">We know that people who are either in </t>
    </r>
    <r>
      <rPr>
        <i/>
        <sz val="12.5"/>
        <color theme="1"/>
        <rFont val="Calibri"/>
        <family val="2"/>
        <scheme val="minor"/>
      </rPr>
      <t xml:space="preserve">over-weight range (25 to &lt; 30) </t>
    </r>
    <r>
      <rPr>
        <sz val="12.5"/>
        <color theme="1"/>
        <rFont val="Calibri"/>
        <family val="2"/>
        <scheme val="minor"/>
      </rPr>
      <t>or</t>
    </r>
    <r>
      <rPr>
        <i/>
        <sz val="12.5"/>
        <color theme="1"/>
        <rFont val="Calibri"/>
        <family val="2"/>
        <scheme val="minor"/>
      </rPr>
      <t xml:space="preserve"> obesity range ( 30 or higher)</t>
    </r>
    <r>
      <rPr>
        <sz val="12.5"/>
        <color theme="1"/>
        <rFont val="Calibri"/>
        <family val="2"/>
        <scheme val="minor"/>
      </rPr>
      <t xml:space="preserve"> in BMI, are more likely to buy LeanFit's Weight Loss Plan based on the BMI criterion. </t>
    </r>
  </si>
  <si>
    <r>
      <t xml:space="preserve">Similarly, we know that elevated heart rate is associated with elevated blood pressure. Generally, if the </t>
    </r>
    <r>
      <rPr>
        <i/>
        <sz val="12.5"/>
        <color theme="1"/>
        <rFont val="Calibri"/>
        <family val="2"/>
        <scheme val="minor"/>
      </rPr>
      <t>heart rate exceeds 185 beats per minute during exercise, one is at more risk of High Blood Pressure</t>
    </r>
    <r>
      <rPr>
        <sz val="12.5"/>
        <color theme="1"/>
        <rFont val="Calibri"/>
        <family val="2"/>
        <scheme val="minor"/>
      </rPr>
      <t>, Hypertention, and other cardiovascular diseases. Thus, Weight loss can play an important role in reducing the risk of the above.</t>
    </r>
  </si>
  <si>
    <r>
      <t xml:space="preserve">Thus, from my analysis of the weightLogInfo dataset, customers having the Customer Ids : </t>
    </r>
    <r>
      <rPr>
        <b/>
        <sz val="12.5"/>
        <color theme="4" tint="-0.249977111117893"/>
        <rFont val="Calibri"/>
        <family val="2"/>
        <scheme val="minor"/>
      </rPr>
      <t>1927972279</t>
    </r>
    <r>
      <rPr>
        <sz val="12.5"/>
        <color theme="1"/>
        <rFont val="Calibri"/>
        <family val="2"/>
        <scheme val="minor"/>
      </rPr>
      <t xml:space="preserve">, </t>
    </r>
    <r>
      <rPr>
        <b/>
        <sz val="12.5"/>
        <color theme="4" tint="-0.249977111117893"/>
        <rFont val="Calibri"/>
        <family val="2"/>
        <scheme val="minor"/>
      </rPr>
      <t>5577150313</t>
    </r>
    <r>
      <rPr>
        <sz val="12.5"/>
        <color theme="1"/>
        <rFont val="Calibri"/>
        <family val="2"/>
        <scheme val="minor"/>
      </rPr>
      <t xml:space="preserve">, </t>
    </r>
    <r>
      <rPr>
        <b/>
        <sz val="12.5"/>
        <color theme="4" tint="-0.249977111117893"/>
        <rFont val="Calibri"/>
        <family val="2"/>
        <scheme val="minor"/>
      </rPr>
      <t>4319703577</t>
    </r>
    <r>
      <rPr>
        <sz val="12.5"/>
        <color theme="1"/>
        <rFont val="Calibri"/>
        <family val="2"/>
        <scheme val="minor"/>
      </rPr>
      <t xml:space="preserve">, </t>
    </r>
    <r>
      <rPr>
        <b/>
        <sz val="12.5"/>
        <color theme="4" tint="-0.249977111117893"/>
        <rFont val="Calibri"/>
        <family val="2"/>
        <scheme val="minor"/>
      </rPr>
      <t>4558609924</t>
    </r>
    <r>
      <rPr>
        <sz val="12.5"/>
        <color theme="1"/>
        <rFont val="Calibri"/>
        <family val="2"/>
        <scheme val="minor"/>
      </rPr>
      <t xml:space="preserve">, and </t>
    </r>
    <r>
      <rPr>
        <b/>
        <sz val="12.5"/>
        <color theme="4" tint="-0.249977111117893"/>
        <rFont val="Calibri"/>
        <family val="2"/>
        <scheme val="minor"/>
      </rPr>
      <t>8877689391</t>
    </r>
    <r>
      <rPr>
        <sz val="12.5"/>
        <color theme="1"/>
        <rFont val="Calibri"/>
        <family val="2"/>
        <scheme val="minor"/>
      </rPr>
      <t xml:space="preserve"> are more likely to buy the plan.</t>
    </r>
  </si>
  <si>
    <r>
      <t xml:space="preserve">Thus, from my analysis of heartrate_seconds dataset, customers having Customer Ids : </t>
    </r>
    <r>
      <rPr>
        <b/>
        <sz val="12.5"/>
        <color theme="4" tint="-0.249977111117893"/>
        <rFont val="Calibri"/>
        <family val="2"/>
        <scheme val="minor"/>
      </rPr>
      <t>2022484408</t>
    </r>
    <r>
      <rPr>
        <sz val="12.5"/>
        <color theme="1"/>
        <rFont val="Calibri"/>
        <family val="2"/>
        <scheme val="minor"/>
      </rPr>
      <t xml:space="preserve">, </t>
    </r>
    <r>
      <rPr>
        <b/>
        <sz val="12.5"/>
        <color theme="4" tint="-0.249977111117893"/>
        <rFont val="Calibri"/>
        <family val="2"/>
        <scheme val="minor"/>
      </rPr>
      <t>4558609924</t>
    </r>
    <r>
      <rPr>
        <sz val="12.5"/>
        <color theme="1"/>
        <rFont val="Calibri"/>
        <family val="2"/>
        <scheme val="minor"/>
      </rPr>
      <t xml:space="preserve">, </t>
    </r>
    <r>
      <rPr>
        <b/>
        <sz val="12.5"/>
        <color theme="4" tint="-0.249977111117893"/>
        <rFont val="Calibri"/>
        <family val="2"/>
        <scheme val="minor"/>
      </rPr>
      <t>2347167796</t>
    </r>
    <r>
      <rPr>
        <sz val="12.5"/>
        <color theme="1"/>
        <rFont val="Calibri"/>
        <family val="2"/>
        <scheme val="minor"/>
      </rPr>
      <t xml:space="preserve">, </t>
    </r>
    <r>
      <rPr>
        <b/>
        <sz val="12.5"/>
        <color theme="4" tint="-0.249977111117893"/>
        <rFont val="Calibri"/>
        <family val="2"/>
        <scheme val="minor"/>
      </rPr>
      <t>4020332650</t>
    </r>
    <r>
      <rPr>
        <sz val="12.5"/>
        <color theme="1"/>
        <rFont val="Calibri"/>
        <family val="2"/>
        <scheme val="minor"/>
      </rPr>
      <t xml:space="preserve">, and </t>
    </r>
    <r>
      <rPr>
        <b/>
        <sz val="12.5"/>
        <color theme="4" tint="-0.249977111117893"/>
        <rFont val="Calibri"/>
        <family val="2"/>
        <scheme val="minor"/>
      </rPr>
      <t>6117666160</t>
    </r>
    <r>
      <rPr>
        <sz val="12.5"/>
        <color theme="1"/>
        <rFont val="Calibri"/>
        <family val="2"/>
        <scheme val="minor"/>
      </rPr>
      <t xml:space="preserve"> are more likely to buy the plan.</t>
    </r>
  </si>
  <si>
    <t>Below are the diagrams showing the customers (in blue colour) who are likely to buy the weight loss plan.</t>
  </si>
  <si>
    <t>Which Customers are likely to buy the Weight Loss Plan?</t>
  </si>
  <si>
    <t>The formula used: =XLOOKUP(A2,'Heartrate Cleaned'!$A$2:$A$251,'Heartrate Cleaned'!$B$2:$B$251,"Not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</si>
</sst>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b/>
      <sz val="11"/>
      <name val="Calibri"/>
      <family val="2"/>
      <scheme val="minor"/>
    </font>
    <font>
      <b/>
      <sz val="12"/>
      <color theme="1"/>
      <name val="Calibri"/>
      <family val="2"/>
      <scheme val="minor"/>
    </font>
    <font>
      <b/>
      <sz val="15"/>
      <color theme="3"/>
      <name val="Calibri"/>
      <family val="2"/>
      <scheme val="minor"/>
    </font>
    <font>
      <i/>
      <sz val="11"/>
      <color rgb="FF7F7F7F"/>
      <name val="Calibri"/>
      <family val="2"/>
      <scheme val="minor"/>
    </font>
    <font>
      <sz val="12.5"/>
      <color theme="1"/>
      <name val="Calibri"/>
      <family val="2"/>
      <scheme val="minor"/>
    </font>
    <font>
      <i/>
      <sz val="12.5"/>
      <color theme="1"/>
      <name val="Calibri"/>
      <family val="2"/>
      <scheme val="minor"/>
    </font>
    <font>
      <i/>
      <sz val="15"/>
      <color rgb="FF7F7F7F"/>
      <name val="Calibri"/>
      <family val="2"/>
      <scheme val="minor"/>
    </font>
    <font>
      <b/>
      <sz val="26"/>
      <color theme="3"/>
      <name val="Calibri"/>
      <family val="2"/>
      <scheme val="minor"/>
    </font>
    <font>
      <b/>
      <sz val="12.5"/>
      <color theme="4" tint="-0.249977111117893"/>
      <name val="Calibri"/>
      <family val="2"/>
      <scheme val="minor"/>
    </font>
  </fonts>
  <fills count="2">
    <fill>
      <patternFill patternType="none"/>
    </fill>
    <fill>
      <patternFill patternType="gray125"/>
    </fill>
  </fills>
  <borders count="16">
    <border>
      <left/>
      <right/>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style="thin">
        <color theme="9" tint="0.39997558519241921"/>
      </right>
      <top style="thin">
        <color theme="9" tint="0.39997558519241921"/>
      </top>
      <bottom/>
      <diagonal/>
    </border>
    <border>
      <left/>
      <right/>
      <top style="thin">
        <color theme="9" tint="0.39997558519241921"/>
      </top>
      <bottom style="thin">
        <color theme="9" tint="0.39997558519241921"/>
      </bottom>
      <diagonal/>
    </border>
    <border>
      <left/>
      <right/>
      <top style="thin">
        <color theme="9" tint="0.3999755851924192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ck">
        <color theme="4"/>
      </bottom>
      <diagonal/>
    </border>
  </borders>
  <cellStyleXfs count="3">
    <xf numFmtId="0" fontId="0" fillId="0" borderId="0"/>
    <xf numFmtId="0" fontId="3" fillId="0" borderId="15" applyNumberFormat="0" applyFill="0" applyAlignment="0" applyProtection="0"/>
    <xf numFmtId="0" fontId="4" fillId="0" borderId="0" applyNumberFormat="0" applyFill="0" applyBorder="0" applyAlignment="0" applyProtection="0"/>
  </cellStyleXfs>
  <cellXfs count="35">
    <xf numFmtId="0" fontId="0" fillId="0" borderId="0" xfId="0"/>
    <xf numFmtId="0" fontId="0" fillId="0" borderId="3" xfId="0" applyBorder="1"/>
    <xf numFmtId="0" fontId="0" fillId="0" borderId="4" xfId="0" applyBorder="1"/>
    <xf numFmtId="0" fontId="0" fillId="0" borderId="1" xfId="0" applyBorder="1"/>
    <xf numFmtId="0" fontId="0" fillId="0" borderId="2" xfId="0" applyBorder="1"/>
    <xf numFmtId="0" fontId="1" fillId="0" borderId="3" xfId="0" applyFont="1" applyBorder="1"/>
    <xf numFmtId="0" fontId="1" fillId="0" borderId="4" xfId="0" applyFont="1" applyBorder="1"/>
    <xf numFmtId="0" fontId="1" fillId="0" borderId="6" xfId="0" applyFont="1" applyBorder="1"/>
    <xf numFmtId="2" fontId="0" fillId="0" borderId="6" xfId="0" applyNumberFormat="1" applyBorder="1"/>
    <xf numFmtId="2" fontId="0" fillId="0" borderId="4" xfId="0" applyNumberFormat="1" applyBorder="1"/>
    <xf numFmtId="2" fontId="0" fillId="0" borderId="5" xfId="0" applyNumberFormat="1" applyBorder="1"/>
    <xf numFmtId="2" fontId="0" fillId="0" borderId="2" xfId="0" applyNumberFormat="1" applyBorder="1"/>
    <xf numFmtId="0" fontId="0" fillId="0" borderId="0" xfId="0" pivotButton="1"/>
    <xf numFmtId="0" fontId="0" fillId="0" borderId="0" xfId="0" applyAlignment="1">
      <alignment horizontal="left"/>
    </xf>
    <xf numFmtId="2" fontId="0" fillId="0" borderId="0" xfId="0" applyNumberFormat="1"/>
    <xf numFmtId="0" fontId="1" fillId="0" borderId="0" xfId="0" applyFont="1"/>
    <xf numFmtId="0" fontId="5" fillId="0" borderId="0" xfId="0" applyFont="1" applyAlignment="1">
      <alignment horizontal="left" vertical="center"/>
    </xf>
    <xf numFmtId="0" fontId="8" fillId="0" borderId="15" xfId="1" applyFont="1" applyAlignment="1">
      <alignment horizontal="center" vertical="center"/>
    </xf>
    <xf numFmtId="0" fontId="7" fillId="0" borderId="0" xfId="2" applyFont="1" applyAlignment="1">
      <alignment horizontal="left" vertical="center"/>
    </xf>
    <xf numFmtId="0" fontId="5" fillId="0" borderId="0" xfId="0" applyFont="1" applyAlignment="1">
      <alignment horizontal="left"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8"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2" xfId="0" applyBorder="1" applyAlignment="1">
      <alignment horizontal="center"/>
    </xf>
  </cellXfs>
  <cellStyles count="3">
    <cellStyle name="Explanatory Text" xfId="2" builtinId="53"/>
    <cellStyle name="Heading 1" xfId="1" builtinId="16"/>
    <cellStyle name="Normal" xfId="0" builtinId="0"/>
  </cellStyles>
  <dxfs count="0"/>
  <tableStyles count="1" defaultTableStyle="TableStyleMedium2" defaultPivotStyle="PivotStyleLight16">
    <tableStyle name="Invisible" pivot="0" table="0" count="0" xr9:uid="{71F7D615-BD4A-4B07-81F6-05D6D51D5450}"/>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 LeanFit Analysis.xlsx]Potential Customers (Weight)!PivotTable2</c:name>
    <c:fmtId val="3"/>
  </c:pivotSource>
  <c:chart>
    <c:title>
      <c:tx>
        <c:rich>
          <a:bodyPr rot="0" spcFirstLastPara="1" vertOverflow="ellipsis" vert="horz" wrap="square" anchor="t" anchorCtr="0"/>
          <a:lstStyle/>
          <a:p>
            <a:pPr marL="0" marR="0" lvl="0" indent="0" algn="ctr" defTabSz="914400" rtl="0" eaLnBrk="1" fontAlgn="auto" latinLnBrk="0" hangingPunct="1">
              <a:lnSpc>
                <a:spcPct val="100000"/>
              </a:lnSpc>
              <a:spcBef>
                <a:spcPts val="0"/>
              </a:spcBef>
              <a:spcAft>
                <a:spcPts val="0"/>
              </a:spcAft>
              <a:buClrTx/>
              <a:buSzTx/>
              <a:buFontTx/>
              <a:buNone/>
              <a:tabLst/>
              <a:defRPr lang="en-US" sz="2000" b="0" i="0" u="none" strike="noStrike" kern="1200" spc="0" baseline="0">
                <a:solidFill>
                  <a:sysClr val="windowText" lastClr="000000"/>
                </a:solidFill>
                <a:latin typeface="+mn-lt"/>
                <a:ea typeface="+mn-ea"/>
                <a:cs typeface="+mn-cs"/>
              </a:defRPr>
            </a:pPr>
            <a:r>
              <a:rPr lang="en-US" sz="2000" b="1" i="0" u="none" strike="noStrike" kern="1200" spc="0" baseline="0">
                <a:solidFill>
                  <a:schemeClr val="bg2">
                    <a:lumMod val="50000"/>
                  </a:schemeClr>
                </a:solidFill>
                <a:cs typeface="Times New Roman" panose="02020603050405020304" pitchFamily="18" charset="0"/>
              </a:rPr>
              <a:t>Potential Customers </a:t>
            </a:r>
            <a:r>
              <a:rPr lang="en-US" sz="2000" b="1" i="0" u="none" strike="noStrike" kern="1200" spc="0" baseline="0">
                <a:solidFill>
                  <a:schemeClr val="bg2">
                    <a:lumMod val="50000"/>
                  </a:schemeClr>
                </a:solidFill>
                <a:ea typeface="Verdana" panose="020B0604030504040204" pitchFamily="34" charset="0"/>
                <a:cs typeface="Segoe UI" panose="020B0502040204020203" pitchFamily="34" charset="0"/>
              </a:rPr>
              <a:t>by BMI    </a:t>
            </a:r>
            <a:endParaRPr lang="en-US" sz="2000" b="1" i="0" u="none" strike="noStrike" kern="1200" spc="0" baseline="0">
              <a:solidFill>
                <a:schemeClr val="bg2">
                  <a:lumMod val="50000"/>
                </a:schemeClr>
              </a:solidFill>
              <a:cs typeface="Segoe UI" panose="020B0502040204020203" pitchFamily="34" charset="0"/>
            </a:endParaRPr>
          </a:p>
        </c:rich>
      </c:tx>
      <c:layout>
        <c:manualLayout>
          <c:xMode val="edge"/>
          <c:yMode val="edge"/>
          <c:x val="3.9208133923671243E-2"/>
          <c:y val="2.0477445615908179E-3"/>
        </c:manualLayout>
      </c:layout>
      <c:overlay val="0"/>
      <c:spPr>
        <a:noFill/>
        <a:ln>
          <a:noFill/>
        </a:ln>
        <a:effectLst/>
      </c:spPr>
      <c:txPr>
        <a:bodyPr rot="0" spcFirstLastPara="1" vertOverflow="ellipsis" vert="horz" wrap="square" anchor="t" anchorCtr="0"/>
        <a:lstStyle/>
        <a:p>
          <a:pPr marL="0" marR="0" lvl="0" indent="0" algn="ctr" defTabSz="914400" rtl="0" eaLnBrk="1" fontAlgn="auto" latinLnBrk="0" hangingPunct="1">
            <a:lnSpc>
              <a:spcPct val="100000"/>
            </a:lnSpc>
            <a:spcBef>
              <a:spcPts val="0"/>
            </a:spcBef>
            <a:spcAft>
              <a:spcPts val="0"/>
            </a:spcAft>
            <a:buClrTx/>
            <a:buSzTx/>
            <a:buFontTx/>
            <a:buNone/>
            <a:tabLst/>
            <a:defRPr lang="en-US" sz="20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
        <c:idx val="6"/>
        <c:spPr>
          <a:solidFill>
            <a:schemeClr val="bg1">
              <a:lumMod val="65000"/>
            </a:schemeClr>
          </a:solidFill>
          <a:ln>
            <a:noFill/>
          </a:ln>
          <a:effectLst/>
        </c:spPr>
      </c:pivotFmt>
      <c:pivotFmt>
        <c:idx val="7"/>
        <c:spPr>
          <a:solidFill>
            <a:schemeClr val="bg1">
              <a:lumMod val="65000"/>
            </a:schemeClr>
          </a:solidFill>
          <a:ln>
            <a:noFill/>
          </a:ln>
          <a:effectLst/>
        </c:spPr>
      </c:pivotFmt>
      <c:pivotFmt>
        <c:idx val="8"/>
        <c:spPr>
          <a:solidFill>
            <a:schemeClr val="bg1">
              <a:lumMod val="65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65000"/>
            </a:schemeClr>
          </a:solidFill>
          <a:ln>
            <a:noFill/>
          </a:ln>
          <a:effectLst/>
        </c:spPr>
      </c:pivotFmt>
      <c:pivotFmt>
        <c:idx val="11"/>
        <c:spPr>
          <a:solidFill>
            <a:schemeClr val="bg1">
              <a:lumMod val="65000"/>
            </a:schemeClr>
          </a:solidFill>
          <a:ln>
            <a:noFill/>
          </a:ln>
          <a:effectLst/>
        </c:spPr>
      </c:pivotFmt>
      <c:pivotFmt>
        <c:idx val="12"/>
        <c:spPr>
          <a:solidFill>
            <a:schemeClr val="bg1">
              <a:lumMod val="65000"/>
            </a:schemeClr>
          </a:solidFill>
          <a:ln>
            <a:noFill/>
          </a:ln>
          <a:effectLst/>
        </c:spPr>
      </c:pivotFmt>
      <c:pivotFmt>
        <c:idx val="13"/>
        <c:spPr>
          <a:solidFill>
            <a:schemeClr val="accent1">
              <a:lumMod val="75000"/>
            </a:schemeClr>
          </a:solidFill>
          <a:ln>
            <a:noFill/>
          </a:ln>
          <a:effectLst/>
        </c:spPr>
      </c:pivotFmt>
      <c:pivotFmt>
        <c:idx val="14"/>
        <c:spPr>
          <a:solidFill>
            <a:schemeClr val="accent1">
              <a:lumMod val="75000"/>
            </a:schemeClr>
          </a:solidFill>
          <a:ln>
            <a:noFill/>
          </a:ln>
          <a:effectLst/>
        </c:spPr>
      </c:pivotFmt>
      <c:pivotFmt>
        <c:idx val="15"/>
        <c:spPr>
          <a:solidFill>
            <a:schemeClr val="accent1">
              <a:lumMod val="75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75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1">
              <a:lumMod val="65000"/>
            </a:schemeClr>
          </a:solidFill>
          <a:ln>
            <a:noFill/>
          </a:ln>
          <a:effectLst/>
        </c:spPr>
      </c:pivotFmt>
      <c:pivotFmt>
        <c:idx val="20"/>
        <c:spPr>
          <a:solidFill>
            <a:schemeClr val="bg1">
              <a:lumMod val="65000"/>
            </a:schemeClr>
          </a:solidFill>
          <a:ln>
            <a:noFill/>
          </a:ln>
          <a:effectLst/>
        </c:spPr>
      </c:pivotFmt>
      <c:pivotFmt>
        <c:idx val="21"/>
        <c:spPr>
          <a:solidFill>
            <a:schemeClr val="bg1">
              <a:lumMod val="65000"/>
            </a:schemeClr>
          </a:solidFill>
          <a:ln>
            <a:noFill/>
          </a:ln>
          <a:effectLst/>
        </c:spPr>
      </c:pivotFmt>
      <c:pivotFmt>
        <c:idx val="22"/>
        <c:spPr>
          <a:solidFill>
            <a:schemeClr val="accent1">
              <a:lumMod val="75000"/>
            </a:schemeClr>
          </a:solidFill>
          <a:ln>
            <a:noFill/>
          </a:ln>
          <a:effectLst/>
        </c:spPr>
      </c:pivotFmt>
      <c:pivotFmt>
        <c:idx val="23"/>
        <c:spPr>
          <a:solidFill>
            <a:schemeClr val="accent1">
              <a:lumMod val="75000"/>
            </a:schemeClr>
          </a:solidFill>
          <a:ln>
            <a:noFill/>
          </a:ln>
          <a:effectLst/>
        </c:spPr>
      </c:pivotFmt>
      <c:pivotFmt>
        <c:idx val="24"/>
        <c:spPr>
          <a:solidFill>
            <a:schemeClr val="accent1">
              <a:lumMod val="75000"/>
            </a:schemeClr>
          </a:solidFill>
          <a:ln>
            <a:noFill/>
          </a:ln>
          <a:effectLst/>
        </c:spPr>
      </c:pivotFmt>
      <c:pivotFmt>
        <c:idx val="25"/>
        <c:spPr>
          <a:solidFill>
            <a:schemeClr val="accent1">
              <a:lumMod val="75000"/>
            </a:schemeClr>
          </a:solidFill>
          <a:ln>
            <a:noFill/>
          </a:ln>
          <a:effectLst/>
        </c:spPr>
      </c:pivotFmt>
      <c:pivotFmt>
        <c:idx val="26"/>
        <c:spPr>
          <a:solidFill>
            <a:schemeClr val="accent1">
              <a:lumMod val="75000"/>
            </a:schemeClr>
          </a:solidFill>
          <a:ln>
            <a:noFill/>
          </a:ln>
          <a:effectLst/>
        </c:spPr>
      </c:pivotFmt>
    </c:pivotFmts>
    <c:plotArea>
      <c:layout>
        <c:manualLayout>
          <c:layoutTarget val="inner"/>
          <c:xMode val="edge"/>
          <c:yMode val="edge"/>
          <c:x val="0.16473223693753608"/>
          <c:y val="0.14039071438185613"/>
          <c:w val="0.79010552435211812"/>
          <c:h val="0.7453648733238889"/>
        </c:manualLayout>
      </c:layout>
      <c:barChart>
        <c:barDir val="bar"/>
        <c:grouping val="clustered"/>
        <c:varyColors val="0"/>
        <c:ser>
          <c:idx val="0"/>
          <c:order val="0"/>
          <c:tx>
            <c:strRef>
              <c:f>'Potential Customers (Weight)'!$C$2</c:f>
              <c:strCache>
                <c:ptCount val="1"/>
                <c:pt idx="0">
                  <c:v>Total</c:v>
                </c:pt>
              </c:strCache>
            </c:strRef>
          </c:tx>
          <c:spPr>
            <a:solidFill>
              <a:schemeClr val="accent1"/>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1-5BA0-4644-BC78-3EED13D9DC3C}"/>
              </c:ext>
            </c:extLst>
          </c:dPt>
          <c:dPt>
            <c:idx val="1"/>
            <c:invertIfNegative val="0"/>
            <c:bubble3D val="0"/>
            <c:spPr>
              <a:solidFill>
                <a:schemeClr val="bg1">
                  <a:lumMod val="65000"/>
                </a:schemeClr>
              </a:solidFill>
              <a:ln>
                <a:noFill/>
              </a:ln>
              <a:effectLst/>
            </c:spPr>
            <c:extLst>
              <c:ext xmlns:c16="http://schemas.microsoft.com/office/drawing/2014/chart" uri="{C3380CC4-5D6E-409C-BE32-E72D297353CC}">
                <c16:uniqueId val="{00000003-5BA0-4644-BC78-3EED13D9DC3C}"/>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5-5BA0-4644-BC78-3EED13D9DC3C}"/>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5BA0-4644-BC78-3EED13D9DC3C}"/>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9-5BA0-4644-BC78-3EED13D9DC3C}"/>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B-5BA0-4644-BC78-3EED13D9DC3C}"/>
              </c:ext>
            </c:extLst>
          </c:dPt>
          <c:dPt>
            <c:idx val="6"/>
            <c:invertIfNegative val="0"/>
            <c:bubble3D val="0"/>
            <c:spPr>
              <a:solidFill>
                <a:schemeClr val="accent1">
                  <a:lumMod val="75000"/>
                </a:schemeClr>
              </a:solidFill>
              <a:ln>
                <a:noFill/>
              </a:ln>
              <a:effectLst/>
            </c:spPr>
            <c:extLst>
              <c:ext xmlns:c16="http://schemas.microsoft.com/office/drawing/2014/chart" uri="{C3380CC4-5D6E-409C-BE32-E72D297353CC}">
                <c16:uniqueId val="{0000000D-5BA0-4644-BC78-3EED13D9DC3C}"/>
              </c:ext>
            </c:extLst>
          </c:dPt>
          <c:dPt>
            <c:idx val="7"/>
            <c:invertIfNegative val="0"/>
            <c:bubble3D val="0"/>
            <c:spPr>
              <a:solidFill>
                <a:schemeClr val="accent1">
                  <a:lumMod val="75000"/>
                </a:schemeClr>
              </a:solidFill>
              <a:ln>
                <a:noFill/>
              </a:ln>
              <a:effectLst/>
            </c:spPr>
            <c:extLst>
              <c:ext xmlns:c16="http://schemas.microsoft.com/office/drawing/2014/chart" uri="{C3380CC4-5D6E-409C-BE32-E72D297353CC}">
                <c16:uniqueId val="{0000000F-5BA0-4644-BC78-3EED13D9DC3C}"/>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'Potential Customers (Weight)'!$B$3:$B$10</c:f>
              <c:strCache>
                <c:ptCount val="8"/>
                <c:pt idx="0">
                  <c:v>2873212765</c:v>
                </c:pt>
                <c:pt idx="1">
                  <c:v>1503960366</c:v>
                </c:pt>
                <c:pt idx="2">
                  <c:v>6962181067</c:v>
                </c:pt>
                <c:pt idx="3">
                  <c:v>8877689391</c:v>
                </c:pt>
                <c:pt idx="4">
                  <c:v>4558609924</c:v>
                </c:pt>
                <c:pt idx="5">
                  <c:v>4319703577</c:v>
                </c:pt>
                <c:pt idx="6">
                  <c:v>5577150313</c:v>
                </c:pt>
                <c:pt idx="7">
                  <c:v>1927972279</c:v>
                </c:pt>
              </c:strCache>
            </c:strRef>
          </c:cat>
          <c:val>
            <c:numRef>
              <c:f>'Potential Customers (Weight)'!$C$3:$C$10</c:f>
              <c:numCache>
                <c:formatCode>0.00</c:formatCode>
                <c:ptCount val="8"/>
                <c:pt idx="0">
                  <c:v>21.570000648498549</c:v>
                </c:pt>
                <c:pt idx="1">
                  <c:v>22.649999618530298</c:v>
                </c:pt>
                <c:pt idx="2">
                  <c:v>24.027999750773112</c:v>
                </c:pt>
                <c:pt idx="3">
                  <c:v>25.487083355585739</c:v>
                </c:pt>
                <c:pt idx="4">
                  <c:v>27.213999938964843</c:v>
                </c:pt>
                <c:pt idx="5">
                  <c:v>27.414999961853049</c:v>
                </c:pt>
                <c:pt idx="6">
                  <c:v>28</c:v>
                </c:pt>
                <c:pt idx="7">
                  <c:v>47.540000915527301</c:v>
                </c:pt>
              </c:numCache>
            </c:numRef>
          </c:val>
          <c:extLst>
            <c:ext xmlns:c16="http://schemas.microsoft.com/office/drawing/2014/chart" uri="{C3380CC4-5D6E-409C-BE32-E72D297353CC}">
              <c16:uniqueId val="{00000010-5BA0-4644-BC78-3EED13D9DC3C}"/>
            </c:ext>
          </c:extLst>
        </c:ser>
        <c:dLbls>
          <c:dLblPos val="ctr"/>
          <c:showLegendKey val="0"/>
          <c:showVal val="1"/>
          <c:showCatName val="0"/>
          <c:showSerName val="0"/>
          <c:showPercent val="0"/>
          <c:showBubbleSize val="0"/>
        </c:dLbls>
        <c:gapWidth val="117"/>
        <c:axId val="1852236096"/>
        <c:axId val="1852231776"/>
      </c:barChart>
      <c:catAx>
        <c:axId val="1852236096"/>
        <c:scaling>
          <c:orientation val="minMax"/>
        </c:scaling>
        <c:delete val="0"/>
        <c:axPos val="l"/>
        <c:title>
          <c:tx>
            <c:rich>
              <a:bodyPr rot="-5400000" spcFirstLastPara="1" vertOverflow="ellipsis" vert="horz" wrap="square" anchor="ctr" anchorCtr="1"/>
              <a:lstStyle/>
              <a:p>
                <a:pPr>
                  <a:defRPr lang="en-US" sz="1100" b="1" i="0" u="none" strike="noStrike" kern="1200" baseline="0">
                    <a:solidFill>
                      <a:schemeClr val="bg2">
                        <a:lumMod val="50000"/>
                      </a:schemeClr>
                    </a:solidFill>
                    <a:latin typeface="+mn-lt"/>
                    <a:ea typeface="+mn-ea"/>
                    <a:cs typeface="+mn-cs"/>
                  </a:defRPr>
                </a:pPr>
                <a:r>
                  <a:rPr lang="en-US" sz="1100" b="1">
                    <a:solidFill>
                      <a:schemeClr val="bg2">
                        <a:lumMod val="50000"/>
                      </a:schemeClr>
                    </a:solidFill>
                  </a:rPr>
                  <a:t>Customer Id</a:t>
                </a:r>
              </a:p>
            </c:rich>
          </c:tx>
          <c:layout>
            <c:manualLayout>
              <c:xMode val="edge"/>
              <c:yMode val="edge"/>
              <c:x val="1.823271178693904E-2"/>
              <c:y val="0.43423367151221481"/>
            </c:manualLayout>
          </c:layout>
          <c:overlay val="0"/>
          <c:spPr>
            <a:noFill/>
            <a:ln>
              <a:noFill/>
            </a:ln>
            <a:effectLst/>
          </c:spPr>
          <c:txPr>
            <a:bodyPr rot="-5400000" spcFirstLastPara="1" vertOverflow="ellipsis" vert="horz" wrap="square" anchor="ctr" anchorCtr="1"/>
            <a:lstStyle/>
            <a:p>
              <a:pPr>
                <a:defRPr lang="en-US" sz="1100" b="1" i="0" u="none" strike="noStrike" kern="1200" baseline="0">
                  <a:solidFill>
                    <a:schemeClr val="bg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852231776"/>
        <c:crosses val="autoZero"/>
        <c:auto val="1"/>
        <c:lblAlgn val="ctr"/>
        <c:lblOffset val="100"/>
        <c:noMultiLvlLbl val="0"/>
      </c:catAx>
      <c:valAx>
        <c:axId val="1852231776"/>
        <c:scaling>
          <c:orientation val="minMax"/>
          <c:max val="50"/>
          <c:min val="0"/>
        </c:scaling>
        <c:delete val="0"/>
        <c:axPos val="b"/>
        <c:title>
          <c:tx>
            <c:rich>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r>
                  <a:rPr lang="en-US" sz="1100" b="1">
                    <a:solidFill>
                      <a:schemeClr val="bg2">
                        <a:lumMod val="50000"/>
                      </a:schemeClr>
                    </a:solidFill>
                  </a:rPr>
                  <a:t>BMI</a:t>
                </a:r>
              </a:p>
            </c:rich>
          </c:tx>
          <c:overlay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852236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 LeanFit Analysis.xlsx]Potential Customers (Heartbeat)!PivotTable3</c:name>
    <c:fmtId val="7"/>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bg2">
                    <a:lumMod val="50000"/>
                  </a:schemeClr>
                </a:solidFill>
                <a:latin typeface="+mn-lt"/>
                <a:cs typeface="Times New Roman" panose="02020603050405020304" pitchFamily="18" charset="0"/>
              </a:rPr>
              <a:t>Potential</a:t>
            </a:r>
            <a:r>
              <a:rPr lang="en-US" sz="2000" b="1" baseline="0">
                <a:solidFill>
                  <a:schemeClr val="bg2">
                    <a:lumMod val="50000"/>
                  </a:schemeClr>
                </a:solidFill>
                <a:latin typeface="+mn-lt"/>
                <a:cs typeface="Times New Roman" panose="02020603050405020304" pitchFamily="18" charset="0"/>
              </a:rPr>
              <a:t> Customers </a:t>
            </a:r>
            <a:r>
              <a:rPr lang="en-US" sz="2000" b="1" baseline="0">
                <a:solidFill>
                  <a:schemeClr val="bg2">
                    <a:lumMod val="50000"/>
                  </a:schemeClr>
                </a:solidFill>
                <a:latin typeface="+mn-lt"/>
                <a:ea typeface="Verdana" panose="020B0604030504040204" pitchFamily="34" charset="0"/>
                <a:cs typeface="Segoe UI" panose="020B0502040204020203" pitchFamily="34" charset="0"/>
              </a:rPr>
              <a:t>by Heartbeat</a:t>
            </a:r>
            <a:endParaRPr lang="en-US" sz="2000" b="1">
              <a:solidFill>
                <a:schemeClr val="bg2">
                  <a:lumMod val="50000"/>
                </a:schemeClr>
              </a:solidFill>
              <a:latin typeface="+mn-lt"/>
              <a:cs typeface="Segoe UI" panose="020B0502040204020203" pitchFamily="34" charset="0"/>
            </a:endParaRPr>
          </a:p>
        </c:rich>
      </c:tx>
      <c:layout>
        <c:manualLayout>
          <c:xMode val="edge"/>
          <c:yMode val="edge"/>
          <c:x val="5.1434591200615318E-2"/>
          <c:y val="9.5034764417661326E-3"/>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9525" cap="sq">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1">
              <a:lumMod val="65000"/>
            </a:schemeClr>
          </a:solidFill>
          <a:ln w="9525" cap="sq">
            <a:noFill/>
          </a:ln>
          <a:effectLst/>
        </c:spPr>
      </c:pivotFmt>
      <c:pivotFmt>
        <c:idx val="2"/>
        <c:spPr>
          <a:solidFill>
            <a:schemeClr val="bg1">
              <a:lumMod val="65000"/>
            </a:schemeClr>
          </a:solidFill>
          <a:ln w="9525" cap="sq">
            <a:noFill/>
          </a:ln>
          <a:effectLst/>
        </c:spPr>
      </c:pivotFmt>
      <c:pivotFmt>
        <c:idx val="3"/>
        <c:spPr>
          <a:solidFill>
            <a:schemeClr val="accent1">
              <a:lumMod val="75000"/>
            </a:schemeClr>
          </a:solidFill>
          <a:ln w="9525" cap="sq">
            <a:noFill/>
          </a:ln>
          <a:effectLst/>
        </c:spPr>
      </c:pivotFmt>
      <c:pivotFmt>
        <c:idx val="4"/>
        <c:spPr>
          <a:solidFill>
            <a:schemeClr val="accent1">
              <a:lumMod val="75000"/>
            </a:schemeClr>
          </a:solidFill>
          <a:ln w="9525" cap="sq">
            <a:noFill/>
          </a:ln>
          <a:effectLst/>
        </c:spPr>
      </c:pivotFmt>
      <c:pivotFmt>
        <c:idx val="5"/>
        <c:spPr>
          <a:solidFill>
            <a:schemeClr val="accent1">
              <a:lumMod val="75000"/>
            </a:schemeClr>
          </a:solidFill>
          <a:ln w="9525" cap="sq">
            <a:noFill/>
          </a:ln>
          <a:effectLst/>
        </c:spPr>
      </c:pivotFmt>
      <c:pivotFmt>
        <c:idx val="6"/>
        <c:spPr>
          <a:solidFill>
            <a:schemeClr val="accent1">
              <a:lumMod val="75000"/>
            </a:schemeClr>
          </a:solidFill>
          <a:ln w="9525" cap="sq">
            <a:noFill/>
          </a:ln>
          <a:effectLst/>
        </c:spPr>
      </c:pivotFmt>
      <c:pivotFmt>
        <c:idx val="7"/>
        <c:spPr>
          <a:solidFill>
            <a:schemeClr val="accent1">
              <a:lumMod val="75000"/>
            </a:schemeClr>
          </a:solidFill>
          <a:ln w="9525" cap="sq">
            <a:noFill/>
          </a:ln>
          <a:effectLst/>
        </c:spPr>
      </c:pivotFmt>
      <c:pivotFmt>
        <c:idx val="8"/>
        <c:spPr>
          <a:solidFill>
            <a:schemeClr val="accent1"/>
          </a:solidFill>
          <a:ln w="9525" cap="sq">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bg1">
              <a:lumMod val="65000"/>
            </a:schemeClr>
          </a:solidFill>
          <a:ln w="9525" cap="sq">
            <a:noFill/>
          </a:ln>
          <a:effectLst/>
        </c:spPr>
      </c:pivotFmt>
      <c:pivotFmt>
        <c:idx val="10"/>
        <c:spPr>
          <a:solidFill>
            <a:schemeClr val="bg1">
              <a:lumMod val="65000"/>
            </a:schemeClr>
          </a:solidFill>
          <a:ln w="9525" cap="sq">
            <a:noFill/>
          </a:ln>
          <a:effectLst/>
        </c:spPr>
      </c:pivotFmt>
      <c:pivotFmt>
        <c:idx val="11"/>
        <c:spPr>
          <a:solidFill>
            <a:schemeClr val="accent1">
              <a:lumMod val="75000"/>
            </a:schemeClr>
          </a:solidFill>
          <a:ln w="9525" cap="sq">
            <a:noFill/>
          </a:ln>
          <a:effectLst/>
        </c:spPr>
      </c:pivotFmt>
      <c:pivotFmt>
        <c:idx val="12"/>
        <c:spPr>
          <a:solidFill>
            <a:schemeClr val="accent1">
              <a:lumMod val="75000"/>
            </a:schemeClr>
          </a:solidFill>
          <a:ln w="9525" cap="sq">
            <a:noFill/>
          </a:ln>
          <a:effectLst/>
        </c:spPr>
      </c:pivotFmt>
      <c:pivotFmt>
        <c:idx val="13"/>
        <c:spPr>
          <a:solidFill>
            <a:schemeClr val="accent1">
              <a:lumMod val="75000"/>
            </a:schemeClr>
          </a:solidFill>
          <a:ln w="9525" cap="sq">
            <a:noFill/>
          </a:ln>
          <a:effectLst/>
        </c:spPr>
      </c:pivotFmt>
      <c:pivotFmt>
        <c:idx val="14"/>
        <c:spPr>
          <a:solidFill>
            <a:schemeClr val="accent1">
              <a:lumMod val="75000"/>
            </a:schemeClr>
          </a:solidFill>
          <a:ln w="9525" cap="sq">
            <a:noFill/>
          </a:ln>
          <a:effectLst/>
        </c:spPr>
      </c:pivotFmt>
      <c:pivotFmt>
        <c:idx val="15"/>
        <c:spPr>
          <a:solidFill>
            <a:schemeClr val="accent1">
              <a:lumMod val="75000"/>
            </a:schemeClr>
          </a:solidFill>
          <a:ln w="9525" cap="sq">
            <a:noFill/>
          </a:ln>
          <a:effectLst/>
        </c:spPr>
      </c:pivotFmt>
      <c:pivotFmt>
        <c:idx val="16"/>
        <c:spPr>
          <a:solidFill>
            <a:schemeClr val="accent1"/>
          </a:solidFill>
          <a:ln w="9525" cap="sq">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bg1">
              <a:lumMod val="65000"/>
            </a:schemeClr>
          </a:solidFill>
          <a:ln w="9525" cap="sq">
            <a:noFill/>
          </a:ln>
          <a:effectLst/>
        </c:spPr>
      </c:pivotFmt>
      <c:pivotFmt>
        <c:idx val="18"/>
        <c:spPr>
          <a:solidFill>
            <a:schemeClr val="bg1">
              <a:lumMod val="65000"/>
            </a:schemeClr>
          </a:solidFill>
          <a:ln w="9525" cap="sq">
            <a:noFill/>
          </a:ln>
          <a:effectLst/>
        </c:spPr>
      </c:pivotFmt>
      <c:pivotFmt>
        <c:idx val="19"/>
        <c:spPr>
          <a:solidFill>
            <a:schemeClr val="accent1">
              <a:lumMod val="75000"/>
            </a:schemeClr>
          </a:solidFill>
          <a:ln w="9525" cap="sq">
            <a:noFill/>
          </a:ln>
          <a:effectLst/>
        </c:spPr>
      </c:pivotFmt>
      <c:pivotFmt>
        <c:idx val="20"/>
        <c:spPr>
          <a:solidFill>
            <a:schemeClr val="accent1">
              <a:lumMod val="75000"/>
            </a:schemeClr>
          </a:solidFill>
          <a:ln w="9525" cap="sq">
            <a:noFill/>
          </a:ln>
          <a:effectLst/>
        </c:spPr>
      </c:pivotFmt>
      <c:pivotFmt>
        <c:idx val="21"/>
        <c:spPr>
          <a:solidFill>
            <a:schemeClr val="accent1">
              <a:lumMod val="75000"/>
            </a:schemeClr>
          </a:solidFill>
          <a:ln w="9525" cap="sq">
            <a:noFill/>
          </a:ln>
          <a:effectLst/>
        </c:spPr>
      </c:pivotFmt>
      <c:pivotFmt>
        <c:idx val="22"/>
        <c:spPr>
          <a:solidFill>
            <a:schemeClr val="accent1">
              <a:lumMod val="75000"/>
            </a:schemeClr>
          </a:solidFill>
          <a:ln w="9525" cap="sq">
            <a:noFill/>
          </a:ln>
          <a:effectLst/>
        </c:spPr>
      </c:pivotFmt>
      <c:pivotFmt>
        <c:idx val="23"/>
        <c:spPr>
          <a:solidFill>
            <a:schemeClr val="accent1">
              <a:lumMod val="75000"/>
            </a:schemeClr>
          </a:solidFill>
          <a:ln w="9525" cap="sq">
            <a:noFill/>
          </a:ln>
          <a:effectLst/>
        </c:spPr>
      </c:pivotFmt>
    </c:pivotFmts>
    <c:plotArea>
      <c:layout>
        <c:manualLayout>
          <c:layoutTarget val="inner"/>
          <c:xMode val="edge"/>
          <c:yMode val="edge"/>
          <c:x val="0.18339438613502848"/>
          <c:y val="0.16211527175063215"/>
          <c:w val="0.76858730037386103"/>
          <c:h val="0.71203804340743404"/>
        </c:manualLayout>
      </c:layout>
      <c:barChart>
        <c:barDir val="bar"/>
        <c:grouping val="clustered"/>
        <c:varyColors val="0"/>
        <c:ser>
          <c:idx val="0"/>
          <c:order val="0"/>
          <c:tx>
            <c:strRef>
              <c:f>'Potential Customers (Heartbeat)'!$C$2</c:f>
              <c:strCache>
                <c:ptCount val="1"/>
                <c:pt idx="0">
                  <c:v>Total</c:v>
                </c:pt>
              </c:strCache>
            </c:strRef>
          </c:tx>
          <c:spPr>
            <a:solidFill>
              <a:schemeClr val="accent1"/>
            </a:solidFill>
            <a:ln w="9525" cap="sq">
              <a:noFill/>
            </a:ln>
            <a:effectLst/>
          </c:spPr>
          <c:invertIfNegative val="0"/>
          <c:dPt>
            <c:idx val="0"/>
            <c:invertIfNegative val="0"/>
            <c:bubble3D val="0"/>
            <c:spPr>
              <a:solidFill>
                <a:schemeClr val="bg1">
                  <a:lumMod val="65000"/>
                </a:schemeClr>
              </a:solidFill>
              <a:ln w="9525" cap="sq">
                <a:noFill/>
              </a:ln>
              <a:effectLst/>
            </c:spPr>
            <c:extLst>
              <c:ext xmlns:c16="http://schemas.microsoft.com/office/drawing/2014/chart" uri="{C3380CC4-5D6E-409C-BE32-E72D297353CC}">
                <c16:uniqueId val="{00000001-A555-415A-AA31-15E2EF228CDC}"/>
              </c:ext>
            </c:extLst>
          </c:dPt>
          <c:dPt>
            <c:idx val="1"/>
            <c:invertIfNegative val="0"/>
            <c:bubble3D val="0"/>
            <c:spPr>
              <a:solidFill>
                <a:schemeClr val="bg1">
                  <a:lumMod val="65000"/>
                </a:schemeClr>
              </a:solidFill>
              <a:ln w="9525" cap="sq">
                <a:noFill/>
              </a:ln>
              <a:effectLst/>
            </c:spPr>
            <c:extLst>
              <c:ext xmlns:c16="http://schemas.microsoft.com/office/drawing/2014/chart" uri="{C3380CC4-5D6E-409C-BE32-E72D297353CC}">
                <c16:uniqueId val="{00000003-A555-415A-AA31-15E2EF228CDC}"/>
              </c:ext>
            </c:extLst>
          </c:dPt>
          <c:dPt>
            <c:idx val="2"/>
            <c:invertIfNegative val="0"/>
            <c:bubble3D val="0"/>
            <c:spPr>
              <a:solidFill>
                <a:schemeClr val="accent1">
                  <a:lumMod val="75000"/>
                </a:schemeClr>
              </a:solidFill>
              <a:ln w="9525" cap="sq">
                <a:noFill/>
              </a:ln>
              <a:effectLst/>
            </c:spPr>
            <c:extLst>
              <c:ext xmlns:c16="http://schemas.microsoft.com/office/drawing/2014/chart" uri="{C3380CC4-5D6E-409C-BE32-E72D297353CC}">
                <c16:uniqueId val="{00000005-A555-415A-AA31-15E2EF228CDC}"/>
              </c:ext>
            </c:extLst>
          </c:dPt>
          <c:dPt>
            <c:idx val="3"/>
            <c:invertIfNegative val="0"/>
            <c:bubble3D val="0"/>
            <c:spPr>
              <a:solidFill>
                <a:schemeClr val="accent1">
                  <a:lumMod val="75000"/>
                </a:schemeClr>
              </a:solidFill>
              <a:ln w="9525" cap="sq">
                <a:noFill/>
              </a:ln>
              <a:effectLst/>
            </c:spPr>
            <c:extLst>
              <c:ext xmlns:c16="http://schemas.microsoft.com/office/drawing/2014/chart" uri="{C3380CC4-5D6E-409C-BE32-E72D297353CC}">
                <c16:uniqueId val="{00000007-A555-415A-AA31-15E2EF228CDC}"/>
              </c:ext>
            </c:extLst>
          </c:dPt>
          <c:dPt>
            <c:idx val="4"/>
            <c:invertIfNegative val="0"/>
            <c:bubble3D val="0"/>
            <c:spPr>
              <a:solidFill>
                <a:schemeClr val="accent1">
                  <a:lumMod val="75000"/>
                </a:schemeClr>
              </a:solidFill>
              <a:ln w="9525" cap="sq">
                <a:noFill/>
              </a:ln>
              <a:effectLst/>
            </c:spPr>
            <c:extLst>
              <c:ext xmlns:c16="http://schemas.microsoft.com/office/drawing/2014/chart" uri="{C3380CC4-5D6E-409C-BE32-E72D297353CC}">
                <c16:uniqueId val="{00000009-A555-415A-AA31-15E2EF228CDC}"/>
              </c:ext>
            </c:extLst>
          </c:dPt>
          <c:dPt>
            <c:idx val="5"/>
            <c:invertIfNegative val="0"/>
            <c:bubble3D val="0"/>
            <c:spPr>
              <a:solidFill>
                <a:schemeClr val="accent1">
                  <a:lumMod val="75000"/>
                </a:schemeClr>
              </a:solidFill>
              <a:ln w="9525" cap="sq">
                <a:noFill/>
              </a:ln>
              <a:effectLst/>
            </c:spPr>
            <c:extLst>
              <c:ext xmlns:c16="http://schemas.microsoft.com/office/drawing/2014/chart" uri="{C3380CC4-5D6E-409C-BE32-E72D297353CC}">
                <c16:uniqueId val="{0000000B-A555-415A-AA31-15E2EF228CDC}"/>
              </c:ext>
            </c:extLst>
          </c:dPt>
          <c:dPt>
            <c:idx val="6"/>
            <c:invertIfNegative val="0"/>
            <c:bubble3D val="0"/>
            <c:spPr>
              <a:solidFill>
                <a:schemeClr val="accent1">
                  <a:lumMod val="75000"/>
                </a:schemeClr>
              </a:solidFill>
              <a:ln w="9525" cap="sq">
                <a:noFill/>
              </a:ln>
              <a:effectLst/>
            </c:spPr>
            <c:extLst>
              <c:ext xmlns:c16="http://schemas.microsoft.com/office/drawing/2014/chart" uri="{C3380CC4-5D6E-409C-BE32-E72D297353CC}">
                <c16:uniqueId val="{0000000D-A555-415A-AA31-15E2EF228CDC}"/>
              </c:ext>
            </c:extLst>
          </c:dPt>
          <c:dLbls>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'Potential Customers (Heartbeat)'!$B$3:$B$9</c:f>
              <c:strCache>
                <c:ptCount val="7"/>
                <c:pt idx="0">
                  <c:v>8877689391</c:v>
                </c:pt>
                <c:pt idx="1">
                  <c:v>6962181067</c:v>
                </c:pt>
                <c:pt idx="2">
                  <c:v>6117666160</c:v>
                </c:pt>
                <c:pt idx="3">
                  <c:v>4020332650</c:v>
                </c:pt>
                <c:pt idx="4">
                  <c:v>2347167796</c:v>
                </c:pt>
                <c:pt idx="5">
                  <c:v>4558609924</c:v>
                </c:pt>
                <c:pt idx="6">
                  <c:v>2022484408</c:v>
                </c:pt>
              </c:strCache>
            </c:strRef>
          </c:cat>
          <c:val>
            <c:numRef>
              <c:f>'Potential Customers (Heartbeat)'!$C$3:$C$9</c:f>
              <c:numCache>
                <c:formatCode>General</c:formatCode>
                <c:ptCount val="7"/>
                <c:pt idx="0">
                  <c:v>180</c:v>
                </c:pt>
                <c:pt idx="1">
                  <c:v>184</c:v>
                </c:pt>
                <c:pt idx="2">
                  <c:v>189</c:v>
                </c:pt>
                <c:pt idx="3">
                  <c:v>191</c:v>
                </c:pt>
                <c:pt idx="4">
                  <c:v>195</c:v>
                </c:pt>
                <c:pt idx="5">
                  <c:v>199</c:v>
                </c:pt>
                <c:pt idx="6">
                  <c:v>203</c:v>
                </c:pt>
              </c:numCache>
            </c:numRef>
          </c:val>
          <c:extLst>
            <c:ext xmlns:c16="http://schemas.microsoft.com/office/drawing/2014/chart" uri="{C3380CC4-5D6E-409C-BE32-E72D297353CC}">
              <c16:uniqueId val="{0000000E-A555-415A-AA31-15E2EF228CDC}"/>
            </c:ext>
          </c:extLst>
        </c:ser>
        <c:dLbls>
          <c:showLegendKey val="0"/>
          <c:showVal val="0"/>
          <c:showCatName val="0"/>
          <c:showSerName val="0"/>
          <c:showPercent val="0"/>
          <c:showBubbleSize val="0"/>
        </c:dLbls>
        <c:gapWidth val="117"/>
        <c:axId val="1471119376"/>
        <c:axId val="1471117456"/>
      </c:barChart>
      <c:catAx>
        <c:axId val="1471119376"/>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bg2">
                        <a:lumMod val="50000"/>
                      </a:schemeClr>
                    </a:solidFill>
                    <a:latin typeface="+mn-lt"/>
                    <a:ea typeface="+mn-ea"/>
                    <a:cs typeface="+mn-cs"/>
                  </a:defRPr>
                </a:pPr>
                <a:r>
                  <a:rPr lang="en-US" sz="1100" b="1">
                    <a:solidFill>
                      <a:schemeClr val="bg2">
                        <a:lumMod val="50000"/>
                      </a:schemeClr>
                    </a:solidFill>
                    <a:latin typeface="+mn-lt"/>
                  </a:rPr>
                  <a:t>Customer Id</a:t>
                </a:r>
              </a:p>
            </c:rich>
          </c:tx>
          <c:layout>
            <c:manualLayout>
              <c:xMode val="edge"/>
              <c:yMode val="edge"/>
              <c:x val="1.3869625520110958E-2"/>
              <c:y val="0.39725543244532369"/>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bg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117456"/>
        <c:crosses val="autoZero"/>
        <c:auto val="1"/>
        <c:lblAlgn val="ctr"/>
        <c:lblOffset val="100"/>
        <c:noMultiLvlLbl val="0"/>
      </c:catAx>
      <c:valAx>
        <c:axId val="147111745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bg2">
                        <a:lumMod val="50000"/>
                      </a:schemeClr>
                    </a:solidFill>
                    <a:latin typeface="+mn-lt"/>
                    <a:ea typeface="Verdana" panose="020B0604030504040204" pitchFamily="34" charset="0"/>
                    <a:cs typeface="+mn-cs"/>
                  </a:defRPr>
                </a:pPr>
                <a:r>
                  <a:rPr lang="en-US" sz="1100" b="1">
                    <a:solidFill>
                      <a:schemeClr val="bg2">
                        <a:lumMod val="50000"/>
                      </a:schemeClr>
                    </a:solidFill>
                    <a:latin typeface="+mn-lt"/>
                    <a:ea typeface="Verdana" panose="020B0604030504040204" pitchFamily="34" charset="0"/>
                  </a:rPr>
                  <a:t>Heartbeat during Exercise</a:t>
                </a:r>
              </a:p>
            </c:rich>
          </c:tx>
          <c:layout>
            <c:manualLayout>
              <c:xMode val="edge"/>
              <c:yMode val="edge"/>
              <c:x val="0.40430901097454036"/>
              <c:y val="0.9467449050165487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2">
                      <a:lumMod val="50000"/>
                    </a:schemeClr>
                  </a:solidFill>
                  <a:latin typeface="+mn-lt"/>
                  <a:ea typeface="Verdana" panose="020B0604030504040204" pitchFamily="34" charset="0"/>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119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 LeanFit Analysis.xlsx]Potential Customers (Weight)!PivotTable2</c:name>
    <c:fmtId val="0"/>
  </c:pivotSource>
  <c:chart>
    <c:title>
      <c:tx>
        <c:rich>
          <a:bodyPr rot="0" spcFirstLastPara="1" vertOverflow="ellipsis" vert="horz" wrap="square" anchor="t" anchorCtr="0"/>
          <a:lstStyle/>
          <a:p>
            <a:pPr marL="0" marR="0" lvl="0" indent="0" algn="ctr" defTabSz="914400" rtl="0" eaLnBrk="1" fontAlgn="auto" latinLnBrk="0" hangingPunct="1">
              <a:lnSpc>
                <a:spcPct val="100000"/>
              </a:lnSpc>
              <a:spcBef>
                <a:spcPts val="0"/>
              </a:spcBef>
              <a:spcAft>
                <a:spcPts val="0"/>
              </a:spcAft>
              <a:buClrTx/>
              <a:buSzTx/>
              <a:buFontTx/>
              <a:buNone/>
              <a:tabLst/>
              <a:defRPr lang="en-US" sz="2000" b="0" i="0" u="none" strike="noStrike" kern="1200" spc="0" baseline="0">
                <a:solidFill>
                  <a:sysClr val="windowText" lastClr="000000"/>
                </a:solidFill>
                <a:latin typeface="+mn-lt"/>
                <a:ea typeface="+mn-ea"/>
                <a:cs typeface="+mn-cs"/>
              </a:defRPr>
            </a:pPr>
            <a:r>
              <a:rPr lang="en-US" sz="2000" b="1" i="0" u="none" strike="noStrike" kern="1200" spc="0" baseline="0">
                <a:solidFill>
                  <a:schemeClr val="bg2">
                    <a:lumMod val="50000"/>
                  </a:schemeClr>
                </a:solidFill>
                <a:cs typeface="Times New Roman" panose="02020603050405020304" pitchFamily="18" charset="0"/>
              </a:rPr>
              <a:t>Potential Customers </a:t>
            </a:r>
            <a:r>
              <a:rPr lang="en-US" sz="2000" b="1" i="0" u="none" strike="noStrike" kern="1200" spc="0" baseline="0">
                <a:solidFill>
                  <a:schemeClr val="bg2">
                    <a:lumMod val="50000"/>
                  </a:schemeClr>
                </a:solidFill>
                <a:ea typeface="Verdana" panose="020B0604030504040204" pitchFamily="34" charset="0"/>
                <a:cs typeface="Segoe UI" panose="020B0502040204020203" pitchFamily="34" charset="0"/>
              </a:rPr>
              <a:t>for</a:t>
            </a:r>
            <a:r>
              <a:rPr lang="en-US" sz="2000" b="1" i="0" u="none" strike="noStrike" kern="1200" spc="0" baseline="0">
                <a:solidFill>
                  <a:schemeClr val="bg2">
                    <a:lumMod val="50000"/>
                  </a:schemeClr>
                </a:solidFill>
                <a:cs typeface="Times New Roman" panose="02020603050405020304" pitchFamily="18" charset="0"/>
              </a:rPr>
              <a:t> </a:t>
            </a:r>
            <a:r>
              <a:rPr lang="en-US" sz="2000" b="1" i="0" u="none" strike="noStrike" kern="1200" spc="0" baseline="0">
                <a:solidFill>
                  <a:schemeClr val="bg2">
                    <a:lumMod val="50000"/>
                  </a:schemeClr>
                </a:solidFill>
                <a:cs typeface="Segoe UI" panose="020B0502040204020203" pitchFamily="34" charset="0"/>
              </a:rPr>
              <a:t>LeanFit</a:t>
            </a:r>
          </a:p>
        </c:rich>
      </c:tx>
      <c:layout>
        <c:manualLayout>
          <c:xMode val="edge"/>
          <c:yMode val="edge"/>
          <c:x val="3.9208192041688218E-2"/>
          <c:y val="5.5788999932700721E-3"/>
        </c:manualLayout>
      </c:layout>
      <c:overlay val="0"/>
      <c:spPr>
        <a:noFill/>
        <a:ln>
          <a:noFill/>
        </a:ln>
        <a:effectLst/>
      </c:spPr>
      <c:txPr>
        <a:bodyPr rot="0" spcFirstLastPara="1" vertOverflow="ellipsis" vert="horz" wrap="square" anchor="t" anchorCtr="0"/>
        <a:lstStyle/>
        <a:p>
          <a:pPr marL="0" marR="0" lvl="0" indent="0" algn="ctr" defTabSz="914400" rtl="0" eaLnBrk="1" fontAlgn="auto" latinLnBrk="0" hangingPunct="1">
            <a:lnSpc>
              <a:spcPct val="100000"/>
            </a:lnSpc>
            <a:spcBef>
              <a:spcPts val="0"/>
            </a:spcBef>
            <a:spcAft>
              <a:spcPts val="0"/>
            </a:spcAft>
            <a:buClrTx/>
            <a:buSzTx/>
            <a:buFontTx/>
            <a:buNone/>
            <a:tabLst/>
            <a:defRPr lang="en-US" sz="20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
        <c:idx val="6"/>
        <c:spPr>
          <a:solidFill>
            <a:schemeClr val="bg1">
              <a:lumMod val="65000"/>
            </a:schemeClr>
          </a:solidFill>
          <a:ln>
            <a:noFill/>
          </a:ln>
          <a:effectLst/>
        </c:spPr>
      </c:pivotFmt>
      <c:pivotFmt>
        <c:idx val="7"/>
        <c:spPr>
          <a:solidFill>
            <a:schemeClr val="bg1">
              <a:lumMod val="65000"/>
            </a:schemeClr>
          </a:solidFill>
          <a:ln>
            <a:noFill/>
          </a:ln>
          <a:effectLst/>
        </c:spPr>
      </c:pivotFmt>
      <c:pivotFmt>
        <c:idx val="8"/>
        <c:spPr>
          <a:solidFill>
            <a:schemeClr val="bg1">
              <a:lumMod val="65000"/>
            </a:schemeClr>
          </a:solidFill>
          <a:ln>
            <a:noFill/>
          </a:ln>
          <a:effectLst/>
        </c:spPr>
      </c:pivotFmt>
    </c:pivotFmts>
    <c:plotArea>
      <c:layout>
        <c:manualLayout>
          <c:layoutTarget val="inner"/>
          <c:xMode val="edge"/>
          <c:yMode val="edge"/>
          <c:x val="0.16473223693753608"/>
          <c:y val="0.14039071438185613"/>
          <c:w val="0.79010552435211812"/>
          <c:h val="0.7453648733238889"/>
        </c:manualLayout>
      </c:layout>
      <c:barChart>
        <c:barDir val="bar"/>
        <c:grouping val="clustered"/>
        <c:varyColors val="0"/>
        <c:ser>
          <c:idx val="0"/>
          <c:order val="0"/>
          <c:tx>
            <c:strRef>
              <c:f>'Potential Customers (Weight)'!$C$2</c:f>
              <c:strCache>
                <c:ptCount val="1"/>
                <c:pt idx="0">
                  <c:v>Total</c:v>
                </c:pt>
              </c:strCache>
            </c:strRef>
          </c:tx>
          <c:spPr>
            <a:solidFill>
              <a:schemeClr val="accent1"/>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9-5766-4E6B-A7A8-A193363E3284}"/>
              </c:ext>
            </c:extLst>
          </c:dPt>
          <c:dPt>
            <c:idx val="1"/>
            <c:invertIfNegative val="0"/>
            <c:bubble3D val="0"/>
            <c:spPr>
              <a:solidFill>
                <a:schemeClr val="bg1">
                  <a:lumMod val="65000"/>
                </a:schemeClr>
              </a:solidFill>
              <a:ln>
                <a:noFill/>
              </a:ln>
              <a:effectLst/>
            </c:spPr>
            <c:extLst>
              <c:ext xmlns:c16="http://schemas.microsoft.com/office/drawing/2014/chart" uri="{C3380CC4-5D6E-409C-BE32-E72D297353CC}">
                <c16:uniqueId val="{00000008-5766-4E6B-A7A8-A193363E3284}"/>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7-5766-4E6B-A7A8-A193363E3284}"/>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2-5766-4E6B-A7A8-A193363E3284}"/>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3-5766-4E6B-A7A8-A193363E3284}"/>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4-5766-4E6B-A7A8-A193363E3284}"/>
              </c:ext>
            </c:extLst>
          </c:dPt>
          <c:dPt>
            <c:idx val="6"/>
            <c:invertIfNegative val="0"/>
            <c:bubble3D val="0"/>
            <c:spPr>
              <a:solidFill>
                <a:schemeClr val="accent1">
                  <a:lumMod val="75000"/>
                </a:schemeClr>
              </a:solidFill>
              <a:ln>
                <a:noFill/>
              </a:ln>
              <a:effectLst/>
            </c:spPr>
            <c:extLst>
              <c:ext xmlns:c16="http://schemas.microsoft.com/office/drawing/2014/chart" uri="{C3380CC4-5D6E-409C-BE32-E72D297353CC}">
                <c16:uniqueId val="{00000005-5766-4E6B-A7A8-A193363E3284}"/>
              </c:ext>
            </c:extLst>
          </c:dPt>
          <c:dPt>
            <c:idx val="7"/>
            <c:invertIfNegative val="0"/>
            <c:bubble3D val="0"/>
            <c:spPr>
              <a:solidFill>
                <a:schemeClr val="accent1">
                  <a:lumMod val="75000"/>
                </a:schemeClr>
              </a:solidFill>
              <a:ln>
                <a:noFill/>
              </a:ln>
              <a:effectLst/>
            </c:spPr>
            <c:extLst>
              <c:ext xmlns:c16="http://schemas.microsoft.com/office/drawing/2014/chart" uri="{C3380CC4-5D6E-409C-BE32-E72D297353CC}">
                <c16:uniqueId val="{00000006-5766-4E6B-A7A8-A193363E3284}"/>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'Potential Customers (Weight)'!$B$3:$B$10</c:f>
              <c:strCache>
                <c:ptCount val="8"/>
                <c:pt idx="0">
                  <c:v>2873212765</c:v>
                </c:pt>
                <c:pt idx="1">
                  <c:v>1503960366</c:v>
                </c:pt>
                <c:pt idx="2">
                  <c:v>6962181067</c:v>
                </c:pt>
                <c:pt idx="3">
                  <c:v>8877689391</c:v>
                </c:pt>
                <c:pt idx="4">
                  <c:v>4558609924</c:v>
                </c:pt>
                <c:pt idx="5">
                  <c:v>4319703577</c:v>
                </c:pt>
                <c:pt idx="6">
                  <c:v>5577150313</c:v>
                </c:pt>
                <c:pt idx="7">
                  <c:v>1927972279</c:v>
                </c:pt>
              </c:strCache>
            </c:strRef>
          </c:cat>
          <c:val>
            <c:numRef>
              <c:f>'Potential Customers (Weight)'!$C$3:$C$10</c:f>
              <c:numCache>
                <c:formatCode>0.00</c:formatCode>
                <c:ptCount val="8"/>
                <c:pt idx="0">
                  <c:v>21.570000648498549</c:v>
                </c:pt>
                <c:pt idx="1">
                  <c:v>22.649999618530298</c:v>
                </c:pt>
                <c:pt idx="2">
                  <c:v>24.027999750773112</c:v>
                </c:pt>
                <c:pt idx="3">
                  <c:v>25.487083355585739</c:v>
                </c:pt>
                <c:pt idx="4">
                  <c:v>27.213999938964843</c:v>
                </c:pt>
                <c:pt idx="5">
                  <c:v>27.414999961853049</c:v>
                </c:pt>
                <c:pt idx="6">
                  <c:v>28</c:v>
                </c:pt>
                <c:pt idx="7">
                  <c:v>47.540000915527301</c:v>
                </c:pt>
              </c:numCache>
            </c:numRef>
          </c:val>
          <c:extLst>
            <c:ext xmlns:c16="http://schemas.microsoft.com/office/drawing/2014/chart" uri="{C3380CC4-5D6E-409C-BE32-E72D297353CC}">
              <c16:uniqueId val="{00000000-5766-4E6B-A7A8-A193363E3284}"/>
            </c:ext>
          </c:extLst>
        </c:ser>
        <c:dLbls>
          <c:dLblPos val="ctr"/>
          <c:showLegendKey val="0"/>
          <c:showVal val="1"/>
          <c:showCatName val="0"/>
          <c:showSerName val="0"/>
          <c:showPercent val="0"/>
          <c:showBubbleSize val="0"/>
        </c:dLbls>
        <c:gapWidth val="117"/>
        <c:axId val="1852236096"/>
        <c:axId val="1852231776"/>
      </c:barChart>
      <c:catAx>
        <c:axId val="1852236096"/>
        <c:scaling>
          <c:orientation val="minMax"/>
        </c:scaling>
        <c:delete val="0"/>
        <c:axPos val="l"/>
        <c:title>
          <c:tx>
            <c:rich>
              <a:bodyPr rot="-5400000" spcFirstLastPara="1" vertOverflow="ellipsis" vert="horz" wrap="square" anchor="ctr" anchorCtr="1"/>
              <a:lstStyle/>
              <a:p>
                <a:pPr>
                  <a:defRPr lang="en-US" sz="1100" b="1" i="0" u="none" strike="noStrike" kern="1200" baseline="0">
                    <a:solidFill>
                      <a:schemeClr val="bg2">
                        <a:lumMod val="50000"/>
                      </a:schemeClr>
                    </a:solidFill>
                    <a:latin typeface="+mn-lt"/>
                    <a:ea typeface="+mn-ea"/>
                    <a:cs typeface="+mn-cs"/>
                  </a:defRPr>
                </a:pPr>
                <a:r>
                  <a:rPr lang="en-US" sz="1100" b="1">
                    <a:solidFill>
                      <a:schemeClr val="bg2">
                        <a:lumMod val="50000"/>
                      </a:schemeClr>
                    </a:solidFill>
                  </a:rPr>
                  <a:t>Customer Id</a:t>
                </a:r>
              </a:p>
            </c:rich>
          </c:tx>
          <c:layout>
            <c:manualLayout>
              <c:xMode val="edge"/>
              <c:yMode val="edge"/>
              <c:x val="1.823271178693904E-2"/>
              <c:y val="0.43423367151221481"/>
            </c:manualLayout>
          </c:layout>
          <c:overlay val="0"/>
          <c:spPr>
            <a:noFill/>
            <a:ln>
              <a:noFill/>
            </a:ln>
            <a:effectLst/>
          </c:spPr>
          <c:txPr>
            <a:bodyPr rot="-5400000" spcFirstLastPara="1" vertOverflow="ellipsis" vert="horz" wrap="square" anchor="ctr" anchorCtr="1"/>
            <a:lstStyle/>
            <a:p>
              <a:pPr>
                <a:defRPr lang="en-US" sz="1100" b="1" i="0" u="none" strike="noStrike" kern="1200" baseline="0">
                  <a:solidFill>
                    <a:schemeClr val="bg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852231776"/>
        <c:crosses val="autoZero"/>
        <c:auto val="1"/>
        <c:lblAlgn val="ctr"/>
        <c:lblOffset val="100"/>
        <c:noMultiLvlLbl val="0"/>
      </c:catAx>
      <c:valAx>
        <c:axId val="1852231776"/>
        <c:scaling>
          <c:orientation val="minMax"/>
          <c:max val="50"/>
          <c:min val="0"/>
        </c:scaling>
        <c:delete val="0"/>
        <c:axPos val="b"/>
        <c:title>
          <c:tx>
            <c:rich>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r>
                  <a:rPr lang="en-US" sz="1100" b="1">
                    <a:solidFill>
                      <a:schemeClr val="bg2">
                        <a:lumMod val="50000"/>
                      </a:schemeClr>
                    </a:solidFill>
                  </a:rPr>
                  <a:t>BMI</a:t>
                </a:r>
              </a:p>
            </c:rich>
          </c:tx>
          <c:overlay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852236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 LeanFit Analysis.xlsx]Potential Customers (Heartbeat)!PivotTable3</c:name>
    <c:fmtId val="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bg2">
                    <a:lumMod val="50000"/>
                  </a:schemeClr>
                </a:solidFill>
                <a:latin typeface="+mn-lt"/>
                <a:cs typeface="Times New Roman" panose="02020603050405020304" pitchFamily="18" charset="0"/>
              </a:rPr>
              <a:t>Potential</a:t>
            </a:r>
            <a:r>
              <a:rPr lang="en-US" sz="2000" b="1" baseline="0">
                <a:solidFill>
                  <a:schemeClr val="bg2">
                    <a:lumMod val="50000"/>
                  </a:schemeClr>
                </a:solidFill>
                <a:latin typeface="+mn-lt"/>
                <a:cs typeface="Times New Roman" panose="02020603050405020304" pitchFamily="18" charset="0"/>
              </a:rPr>
              <a:t> Customers </a:t>
            </a:r>
            <a:r>
              <a:rPr lang="en-US" sz="2000" b="1" baseline="0">
                <a:solidFill>
                  <a:schemeClr val="bg2">
                    <a:lumMod val="50000"/>
                  </a:schemeClr>
                </a:solidFill>
                <a:latin typeface="+mn-lt"/>
                <a:ea typeface="Verdana" panose="020B0604030504040204" pitchFamily="34" charset="0"/>
                <a:cs typeface="Segoe UI" panose="020B0502040204020203" pitchFamily="34" charset="0"/>
              </a:rPr>
              <a:t>for</a:t>
            </a:r>
            <a:r>
              <a:rPr lang="en-US" sz="2000" b="1" baseline="0">
                <a:solidFill>
                  <a:schemeClr val="bg2">
                    <a:lumMod val="50000"/>
                  </a:schemeClr>
                </a:solidFill>
                <a:latin typeface="+mn-lt"/>
                <a:cs typeface="Times New Roman" panose="02020603050405020304" pitchFamily="18" charset="0"/>
              </a:rPr>
              <a:t> </a:t>
            </a:r>
            <a:r>
              <a:rPr lang="en-US" sz="2000" b="1" baseline="0">
                <a:solidFill>
                  <a:schemeClr val="bg2">
                    <a:lumMod val="50000"/>
                  </a:schemeClr>
                </a:solidFill>
                <a:latin typeface="+mn-lt"/>
                <a:cs typeface="Segoe UI" panose="020B0502040204020203" pitchFamily="34" charset="0"/>
              </a:rPr>
              <a:t>LeanFit</a:t>
            </a:r>
            <a:endParaRPr lang="en-US" sz="2000" b="1">
              <a:solidFill>
                <a:schemeClr val="bg2">
                  <a:lumMod val="50000"/>
                </a:schemeClr>
              </a:solidFill>
              <a:latin typeface="+mn-lt"/>
              <a:cs typeface="Segoe UI" panose="020B0502040204020203" pitchFamily="34" charset="0"/>
            </a:endParaRPr>
          </a:p>
        </c:rich>
      </c:tx>
      <c:layout>
        <c:manualLayout>
          <c:xMode val="edge"/>
          <c:yMode val="edge"/>
          <c:x val="5.1434591200615318E-2"/>
          <c:y val="1.6550711352219114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9525" cap="sq">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1">
              <a:lumMod val="65000"/>
            </a:schemeClr>
          </a:solidFill>
          <a:ln w="9525" cap="sq">
            <a:noFill/>
          </a:ln>
          <a:effectLst/>
        </c:spPr>
      </c:pivotFmt>
      <c:pivotFmt>
        <c:idx val="2"/>
        <c:spPr>
          <a:solidFill>
            <a:schemeClr val="bg1">
              <a:lumMod val="65000"/>
            </a:schemeClr>
          </a:solidFill>
          <a:ln w="9525" cap="sq">
            <a:noFill/>
          </a:ln>
          <a:effectLst/>
        </c:spPr>
      </c:pivotFmt>
      <c:pivotFmt>
        <c:idx val="3"/>
        <c:spPr>
          <a:solidFill>
            <a:schemeClr val="accent1">
              <a:lumMod val="75000"/>
            </a:schemeClr>
          </a:solidFill>
          <a:ln w="9525" cap="sq">
            <a:noFill/>
          </a:ln>
          <a:effectLst/>
        </c:spPr>
      </c:pivotFmt>
      <c:pivotFmt>
        <c:idx val="4"/>
        <c:spPr>
          <a:solidFill>
            <a:schemeClr val="accent1">
              <a:lumMod val="75000"/>
            </a:schemeClr>
          </a:solidFill>
          <a:ln w="9525" cap="sq">
            <a:noFill/>
          </a:ln>
          <a:effectLst/>
        </c:spPr>
      </c:pivotFmt>
      <c:pivotFmt>
        <c:idx val="5"/>
        <c:spPr>
          <a:solidFill>
            <a:schemeClr val="accent1">
              <a:lumMod val="75000"/>
            </a:schemeClr>
          </a:solidFill>
          <a:ln w="9525" cap="sq">
            <a:noFill/>
          </a:ln>
          <a:effectLst/>
        </c:spPr>
      </c:pivotFmt>
      <c:pivotFmt>
        <c:idx val="6"/>
        <c:spPr>
          <a:solidFill>
            <a:schemeClr val="accent1">
              <a:lumMod val="75000"/>
            </a:schemeClr>
          </a:solidFill>
          <a:ln w="9525" cap="sq">
            <a:noFill/>
          </a:ln>
          <a:effectLst/>
        </c:spPr>
      </c:pivotFmt>
      <c:pivotFmt>
        <c:idx val="7"/>
        <c:spPr>
          <a:solidFill>
            <a:schemeClr val="accent1">
              <a:lumMod val="75000"/>
            </a:schemeClr>
          </a:solidFill>
          <a:ln w="9525" cap="sq">
            <a:noFill/>
          </a:ln>
          <a:effectLst/>
        </c:spPr>
      </c:pivotFmt>
    </c:pivotFmts>
    <c:plotArea>
      <c:layout>
        <c:manualLayout>
          <c:layoutTarget val="inner"/>
          <c:xMode val="edge"/>
          <c:yMode val="edge"/>
          <c:x val="0.18339438613502848"/>
          <c:y val="0.16211527175063215"/>
          <c:w val="0.76858730037386103"/>
          <c:h val="0.71203804340743404"/>
        </c:manualLayout>
      </c:layout>
      <c:barChart>
        <c:barDir val="bar"/>
        <c:grouping val="clustered"/>
        <c:varyColors val="0"/>
        <c:ser>
          <c:idx val="0"/>
          <c:order val="0"/>
          <c:tx>
            <c:strRef>
              <c:f>'Potential Customers (Heartbeat)'!$C$2</c:f>
              <c:strCache>
                <c:ptCount val="1"/>
                <c:pt idx="0">
                  <c:v>Total</c:v>
                </c:pt>
              </c:strCache>
            </c:strRef>
          </c:tx>
          <c:spPr>
            <a:solidFill>
              <a:schemeClr val="accent1"/>
            </a:solidFill>
            <a:ln w="9525" cap="sq">
              <a:noFill/>
            </a:ln>
            <a:effectLst/>
          </c:spPr>
          <c:invertIfNegative val="0"/>
          <c:dPt>
            <c:idx val="0"/>
            <c:invertIfNegative val="0"/>
            <c:bubble3D val="0"/>
            <c:spPr>
              <a:solidFill>
                <a:schemeClr val="bg1">
                  <a:lumMod val="65000"/>
                </a:schemeClr>
              </a:solidFill>
              <a:ln w="9525" cap="sq">
                <a:noFill/>
              </a:ln>
              <a:effectLst/>
            </c:spPr>
            <c:extLst>
              <c:ext xmlns:c16="http://schemas.microsoft.com/office/drawing/2014/chart" uri="{C3380CC4-5D6E-409C-BE32-E72D297353CC}">
                <c16:uniqueId val="{00000003-8B51-40F1-9FC4-332712B7DBFA}"/>
              </c:ext>
            </c:extLst>
          </c:dPt>
          <c:dPt>
            <c:idx val="1"/>
            <c:invertIfNegative val="0"/>
            <c:bubble3D val="0"/>
            <c:spPr>
              <a:solidFill>
                <a:schemeClr val="bg1">
                  <a:lumMod val="65000"/>
                </a:schemeClr>
              </a:solidFill>
              <a:ln w="9525" cap="sq">
                <a:noFill/>
              </a:ln>
              <a:effectLst/>
            </c:spPr>
            <c:extLst>
              <c:ext xmlns:c16="http://schemas.microsoft.com/office/drawing/2014/chart" uri="{C3380CC4-5D6E-409C-BE32-E72D297353CC}">
                <c16:uniqueId val="{00000002-8B51-40F1-9FC4-332712B7DBFA}"/>
              </c:ext>
            </c:extLst>
          </c:dPt>
          <c:dPt>
            <c:idx val="2"/>
            <c:invertIfNegative val="0"/>
            <c:bubble3D val="0"/>
            <c:spPr>
              <a:solidFill>
                <a:schemeClr val="accent1">
                  <a:lumMod val="75000"/>
                </a:schemeClr>
              </a:solidFill>
              <a:ln w="9525" cap="sq">
                <a:noFill/>
              </a:ln>
              <a:effectLst/>
            </c:spPr>
            <c:extLst>
              <c:ext xmlns:c16="http://schemas.microsoft.com/office/drawing/2014/chart" uri="{C3380CC4-5D6E-409C-BE32-E72D297353CC}">
                <c16:uniqueId val="{00000008-8B51-40F1-9FC4-332712B7DBFA}"/>
              </c:ext>
            </c:extLst>
          </c:dPt>
          <c:dPt>
            <c:idx val="3"/>
            <c:invertIfNegative val="0"/>
            <c:bubble3D val="0"/>
            <c:spPr>
              <a:solidFill>
                <a:schemeClr val="accent1">
                  <a:lumMod val="75000"/>
                </a:schemeClr>
              </a:solidFill>
              <a:ln w="9525" cap="sq">
                <a:noFill/>
              </a:ln>
              <a:effectLst/>
            </c:spPr>
            <c:extLst>
              <c:ext xmlns:c16="http://schemas.microsoft.com/office/drawing/2014/chart" uri="{C3380CC4-5D6E-409C-BE32-E72D297353CC}">
                <c16:uniqueId val="{00000007-8B51-40F1-9FC4-332712B7DBFA}"/>
              </c:ext>
            </c:extLst>
          </c:dPt>
          <c:dPt>
            <c:idx val="4"/>
            <c:invertIfNegative val="0"/>
            <c:bubble3D val="0"/>
            <c:spPr>
              <a:solidFill>
                <a:schemeClr val="accent1">
                  <a:lumMod val="75000"/>
                </a:schemeClr>
              </a:solidFill>
              <a:ln w="9525" cap="sq">
                <a:noFill/>
              </a:ln>
              <a:effectLst/>
            </c:spPr>
            <c:extLst>
              <c:ext xmlns:c16="http://schemas.microsoft.com/office/drawing/2014/chart" uri="{C3380CC4-5D6E-409C-BE32-E72D297353CC}">
                <c16:uniqueId val="{00000006-8B51-40F1-9FC4-332712B7DBFA}"/>
              </c:ext>
            </c:extLst>
          </c:dPt>
          <c:dPt>
            <c:idx val="5"/>
            <c:invertIfNegative val="0"/>
            <c:bubble3D val="0"/>
            <c:spPr>
              <a:solidFill>
                <a:schemeClr val="accent1">
                  <a:lumMod val="75000"/>
                </a:schemeClr>
              </a:solidFill>
              <a:ln w="9525" cap="sq">
                <a:noFill/>
              </a:ln>
              <a:effectLst/>
            </c:spPr>
            <c:extLst>
              <c:ext xmlns:c16="http://schemas.microsoft.com/office/drawing/2014/chart" uri="{C3380CC4-5D6E-409C-BE32-E72D297353CC}">
                <c16:uniqueId val="{00000005-8B51-40F1-9FC4-332712B7DBFA}"/>
              </c:ext>
            </c:extLst>
          </c:dPt>
          <c:dPt>
            <c:idx val="6"/>
            <c:invertIfNegative val="0"/>
            <c:bubble3D val="0"/>
            <c:spPr>
              <a:solidFill>
                <a:schemeClr val="accent1">
                  <a:lumMod val="75000"/>
                </a:schemeClr>
              </a:solidFill>
              <a:ln w="9525" cap="sq">
                <a:noFill/>
              </a:ln>
              <a:effectLst/>
            </c:spPr>
            <c:extLst>
              <c:ext xmlns:c16="http://schemas.microsoft.com/office/drawing/2014/chart" uri="{C3380CC4-5D6E-409C-BE32-E72D297353CC}">
                <c16:uniqueId val="{00000004-8B51-40F1-9FC4-332712B7DBFA}"/>
              </c:ext>
            </c:extLst>
          </c:dPt>
          <c:dLbls>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'Potential Customers (Heartbeat)'!$B$3:$B$9</c:f>
              <c:strCache>
                <c:ptCount val="7"/>
                <c:pt idx="0">
                  <c:v>8877689391</c:v>
                </c:pt>
                <c:pt idx="1">
                  <c:v>6962181067</c:v>
                </c:pt>
                <c:pt idx="2">
                  <c:v>6117666160</c:v>
                </c:pt>
                <c:pt idx="3">
                  <c:v>4020332650</c:v>
                </c:pt>
                <c:pt idx="4">
                  <c:v>2347167796</c:v>
                </c:pt>
                <c:pt idx="5">
                  <c:v>4558609924</c:v>
                </c:pt>
                <c:pt idx="6">
                  <c:v>2022484408</c:v>
                </c:pt>
              </c:strCache>
            </c:strRef>
          </c:cat>
          <c:val>
            <c:numRef>
              <c:f>'Potential Customers (Heartbeat)'!$C$3:$C$9</c:f>
              <c:numCache>
                <c:formatCode>General</c:formatCode>
                <c:ptCount val="7"/>
                <c:pt idx="0">
                  <c:v>180</c:v>
                </c:pt>
                <c:pt idx="1">
                  <c:v>184</c:v>
                </c:pt>
                <c:pt idx="2">
                  <c:v>189</c:v>
                </c:pt>
                <c:pt idx="3">
                  <c:v>191</c:v>
                </c:pt>
                <c:pt idx="4">
                  <c:v>195</c:v>
                </c:pt>
                <c:pt idx="5">
                  <c:v>199</c:v>
                </c:pt>
                <c:pt idx="6">
                  <c:v>203</c:v>
                </c:pt>
              </c:numCache>
            </c:numRef>
          </c:val>
          <c:extLst>
            <c:ext xmlns:c16="http://schemas.microsoft.com/office/drawing/2014/chart" uri="{C3380CC4-5D6E-409C-BE32-E72D297353CC}">
              <c16:uniqueId val="{00000000-8B51-40F1-9FC4-332712B7DBFA}"/>
            </c:ext>
          </c:extLst>
        </c:ser>
        <c:dLbls>
          <c:showLegendKey val="0"/>
          <c:showVal val="0"/>
          <c:showCatName val="0"/>
          <c:showSerName val="0"/>
          <c:showPercent val="0"/>
          <c:showBubbleSize val="0"/>
        </c:dLbls>
        <c:gapWidth val="117"/>
        <c:axId val="1471119376"/>
        <c:axId val="1471117456"/>
      </c:barChart>
      <c:catAx>
        <c:axId val="1471119376"/>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bg2">
                        <a:lumMod val="50000"/>
                      </a:schemeClr>
                    </a:solidFill>
                    <a:latin typeface="+mn-lt"/>
                    <a:ea typeface="+mn-ea"/>
                    <a:cs typeface="+mn-cs"/>
                  </a:defRPr>
                </a:pPr>
                <a:r>
                  <a:rPr lang="en-US" sz="1100" b="1">
                    <a:solidFill>
                      <a:schemeClr val="bg2">
                        <a:lumMod val="50000"/>
                      </a:schemeClr>
                    </a:solidFill>
                    <a:latin typeface="+mn-lt"/>
                  </a:rPr>
                  <a:t>Customer Id</a:t>
                </a:r>
              </a:p>
            </c:rich>
          </c:tx>
          <c:layout>
            <c:manualLayout>
              <c:xMode val="edge"/>
              <c:yMode val="edge"/>
              <c:x val="1.3869625520110958E-2"/>
              <c:y val="0.39725543244532369"/>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bg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117456"/>
        <c:crosses val="autoZero"/>
        <c:auto val="1"/>
        <c:lblAlgn val="ctr"/>
        <c:lblOffset val="100"/>
        <c:noMultiLvlLbl val="0"/>
      </c:catAx>
      <c:valAx>
        <c:axId val="147111745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bg2">
                        <a:lumMod val="50000"/>
                      </a:schemeClr>
                    </a:solidFill>
                    <a:latin typeface="+mn-lt"/>
                    <a:ea typeface="Verdana" panose="020B0604030504040204" pitchFamily="34" charset="0"/>
                    <a:cs typeface="+mn-cs"/>
                  </a:defRPr>
                </a:pPr>
                <a:r>
                  <a:rPr lang="en-US" sz="1100" b="1">
                    <a:solidFill>
                      <a:schemeClr val="bg2">
                        <a:lumMod val="50000"/>
                      </a:schemeClr>
                    </a:solidFill>
                    <a:latin typeface="+mn-lt"/>
                    <a:ea typeface="Verdana" panose="020B0604030504040204" pitchFamily="34" charset="0"/>
                  </a:rPr>
                  <a:t>Heartbeat during Exercise</a:t>
                </a:r>
              </a:p>
            </c:rich>
          </c:tx>
          <c:layout>
            <c:manualLayout>
              <c:xMode val="edge"/>
              <c:yMode val="edge"/>
              <c:x val="0.40430901097454036"/>
              <c:y val="0.9467449050165487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2">
                      <a:lumMod val="50000"/>
                    </a:schemeClr>
                  </a:solidFill>
                  <a:latin typeface="+mn-lt"/>
                  <a:ea typeface="Verdana" panose="020B0604030504040204" pitchFamily="34" charset="0"/>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119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175260</xdr:colOff>
      <xdr:row>13</xdr:row>
      <xdr:rowOff>129540</xdr:rowOff>
    </xdr:from>
    <xdr:to>
      <xdr:col>11</xdr:col>
      <xdr:colOff>502920</xdr:colOff>
      <xdr:row>33</xdr:row>
      <xdr:rowOff>68580</xdr:rowOff>
    </xdr:to>
    <xdr:graphicFrame macro="">
      <xdr:nvGraphicFramePr>
        <xdr:cNvPr id="2" name="Chart 1">
          <a:extLst>
            <a:ext uri="{FF2B5EF4-FFF2-40B4-BE49-F238E27FC236}">
              <a16:creationId xmlns:a16="http://schemas.microsoft.com/office/drawing/2014/main" id="{474693BE-7C7A-4B3F-8D96-455078E23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xdr:colOff>
      <xdr:row>13</xdr:row>
      <xdr:rowOff>129540</xdr:rowOff>
    </xdr:from>
    <xdr:to>
      <xdr:col>22</xdr:col>
      <xdr:colOff>594360</xdr:colOff>
      <xdr:row>33</xdr:row>
      <xdr:rowOff>76200</xdr:rowOff>
    </xdr:to>
    <xdr:graphicFrame macro="">
      <xdr:nvGraphicFramePr>
        <xdr:cNvPr id="3" name="Chart 2">
          <a:extLst>
            <a:ext uri="{FF2B5EF4-FFF2-40B4-BE49-F238E27FC236}">
              <a16:creationId xmlns:a16="http://schemas.microsoft.com/office/drawing/2014/main" id="{FC5BEA88-2E2D-404E-BA6A-529229274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0.00655</cdr:x>
      <cdr:y>0.07692</cdr:y>
    </cdr:from>
    <cdr:to>
      <cdr:x>0.83316</cdr:x>
      <cdr:y>0.13717</cdr:y>
    </cdr:to>
    <cdr:sp macro="" textlink="">
      <cdr:nvSpPr>
        <cdr:cNvPr id="2" name="TextBox 1">
          <a:extLst xmlns:a="http://schemas.openxmlformats.org/drawingml/2006/main">
            <a:ext uri="{FF2B5EF4-FFF2-40B4-BE49-F238E27FC236}">
              <a16:creationId xmlns:a16="http://schemas.microsoft.com/office/drawing/2014/main" id="{EC43E8D4-7AE7-9053-FFC4-3B3AFD5076D8}"/>
            </a:ext>
          </a:extLst>
        </cdr:cNvPr>
        <cdr:cNvSpPr txBox="1"/>
      </cdr:nvSpPr>
      <cdr:spPr>
        <a:xfrm xmlns:a="http://schemas.openxmlformats.org/drawingml/2006/main">
          <a:off x="47861" y="365760"/>
          <a:ext cx="6040519" cy="286486"/>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50" b="0">
              <a:solidFill>
                <a:schemeClr val="accent1">
                  <a:lumMod val="75000"/>
                </a:schemeClr>
              </a:solidFill>
              <a:latin typeface="+mn-lt"/>
              <a:cs typeface="Times New Roman" panose="02020603050405020304" pitchFamily="18" charset="0"/>
            </a:rPr>
            <a:t>      Potential</a:t>
          </a:r>
          <a:r>
            <a:rPr lang="en-US" sz="1150" b="0" baseline="0">
              <a:solidFill>
                <a:schemeClr val="accent1">
                  <a:lumMod val="75000"/>
                </a:schemeClr>
              </a:solidFill>
              <a:latin typeface="+mn-lt"/>
              <a:cs typeface="Times New Roman" panose="02020603050405020304" pitchFamily="18" charset="0"/>
            </a:rPr>
            <a:t> Customers who can buy Weight Loss Plan</a:t>
          </a:r>
          <a:r>
            <a:rPr lang="en-US" sz="1150" b="0" baseline="0">
              <a:latin typeface="+mn-lt"/>
              <a:cs typeface="Times New Roman" panose="02020603050405020304" pitchFamily="18" charset="0"/>
            </a:rPr>
            <a:t> | </a:t>
          </a:r>
          <a:r>
            <a:rPr lang="en-US" sz="1150" b="0" baseline="0">
              <a:solidFill>
                <a:schemeClr val="bg2">
                  <a:lumMod val="50000"/>
                </a:schemeClr>
              </a:solidFill>
              <a:latin typeface="+mn-lt"/>
              <a:cs typeface="Times New Roman" panose="02020603050405020304" pitchFamily="18" charset="0"/>
            </a:rPr>
            <a:t>Customers not likely to buy the Plan</a:t>
          </a:r>
          <a:endParaRPr lang="en-US" sz="1150" b="0">
            <a:solidFill>
              <a:schemeClr val="bg2">
                <a:lumMod val="50000"/>
              </a:schemeClr>
            </a:solidFill>
            <a:latin typeface="+mn-lt"/>
            <a:cs typeface="Times New Roman" panose="02020603050405020304" pitchFamily="18" charset="0"/>
          </a:endParaRPr>
        </a:p>
      </cdr:txBody>
    </cdr:sp>
  </cdr:relSizeAnchor>
  <cdr:relSizeAnchor xmlns:cdr="http://schemas.openxmlformats.org/drawingml/2006/chartDrawing">
    <cdr:from>
      <cdr:x>0.08238</cdr:x>
      <cdr:y>0.61378</cdr:y>
    </cdr:from>
    <cdr:to>
      <cdr:x>0.96559</cdr:x>
      <cdr:y>0.61538</cdr:y>
    </cdr:to>
    <cdr:cxnSp macro="">
      <cdr:nvCxnSpPr>
        <cdr:cNvPr id="4" name="Straight Connector 3">
          <a:extLst xmlns:a="http://schemas.openxmlformats.org/drawingml/2006/main">
            <a:ext uri="{FF2B5EF4-FFF2-40B4-BE49-F238E27FC236}">
              <a16:creationId xmlns:a16="http://schemas.microsoft.com/office/drawing/2014/main" id="{DBDD5447-3639-590F-ABA6-737F0A7D5A34}"/>
            </a:ext>
          </a:extLst>
        </cdr:cNvPr>
        <cdr:cNvCxnSpPr/>
      </cdr:nvCxnSpPr>
      <cdr:spPr>
        <a:xfrm xmlns:a="http://schemas.openxmlformats.org/drawingml/2006/main" flipV="1">
          <a:off x="601980" y="2918460"/>
          <a:ext cx="6454140" cy="7620"/>
        </a:xfrm>
        <a:prstGeom xmlns:a="http://schemas.openxmlformats.org/drawingml/2006/main" prst="line">
          <a:avLst/>
        </a:prstGeom>
        <a:ln xmlns:a="http://schemas.openxmlformats.org/drawingml/2006/main" w="9525" cap="flat" cmpd="sng" algn="ctr">
          <a:solidFill>
            <a:schemeClr val="dk1"/>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0.04438</cdr:x>
      <cdr:y>0.08218</cdr:y>
    </cdr:from>
    <cdr:to>
      <cdr:x>0.86773</cdr:x>
      <cdr:y>0.1503</cdr:y>
    </cdr:to>
    <cdr:sp macro="" textlink="">
      <cdr:nvSpPr>
        <cdr:cNvPr id="2" name="TextBox 1">
          <a:extLst xmlns:a="http://schemas.openxmlformats.org/drawingml/2006/main">
            <a:ext uri="{FF2B5EF4-FFF2-40B4-BE49-F238E27FC236}">
              <a16:creationId xmlns:a16="http://schemas.microsoft.com/office/drawing/2014/main" id="{BB169152-BD91-1F2C-0FC6-8161794FF429}"/>
            </a:ext>
          </a:extLst>
        </cdr:cNvPr>
        <cdr:cNvSpPr txBox="1"/>
      </cdr:nvSpPr>
      <cdr:spPr>
        <a:xfrm xmlns:a="http://schemas.openxmlformats.org/drawingml/2006/main">
          <a:off x="296599" y="360368"/>
          <a:ext cx="5502221" cy="298762"/>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en-US" sz="1150" b="0">
              <a:solidFill>
                <a:schemeClr val="accent1">
                  <a:lumMod val="75000"/>
                </a:schemeClr>
              </a:solidFill>
              <a:latin typeface="+mn-lt"/>
              <a:cs typeface="Times New Roman" panose="02020603050405020304" pitchFamily="18" charset="0"/>
            </a:rPr>
            <a:t>Potential</a:t>
          </a:r>
          <a:r>
            <a:rPr lang="en-US" sz="1150" b="0" baseline="0">
              <a:solidFill>
                <a:schemeClr val="accent1">
                  <a:lumMod val="75000"/>
                </a:schemeClr>
              </a:solidFill>
              <a:latin typeface="+mn-lt"/>
              <a:cs typeface="Times New Roman" panose="02020603050405020304" pitchFamily="18" charset="0"/>
            </a:rPr>
            <a:t> Customers who can buy Weight Loss Plan</a:t>
          </a:r>
          <a:r>
            <a:rPr lang="en-US" sz="1150" b="0" baseline="0">
              <a:latin typeface="+mn-lt"/>
              <a:cs typeface="Times New Roman" panose="02020603050405020304" pitchFamily="18" charset="0"/>
            </a:rPr>
            <a:t> | </a:t>
          </a:r>
          <a:r>
            <a:rPr lang="en-US" sz="1150" b="0" baseline="0">
              <a:solidFill>
                <a:schemeClr val="bg2">
                  <a:lumMod val="50000"/>
                </a:schemeClr>
              </a:solidFill>
              <a:latin typeface="+mn-lt"/>
              <a:cs typeface="Times New Roman" panose="02020603050405020304" pitchFamily="18" charset="0"/>
            </a:rPr>
            <a:t>Customers not likely to buy the Plan</a:t>
          </a:r>
          <a:endParaRPr lang="en-US" sz="1150" b="0">
            <a:solidFill>
              <a:schemeClr val="bg2">
                <a:lumMod val="50000"/>
              </a:schemeClr>
            </a:solidFill>
            <a:latin typeface="+mn-lt"/>
            <a:cs typeface="Times New Roman" panose="02020603050405020304" pitchFamily="18" charset="0"/>
          </a:endParaRPr>
        </a:p>
      </cdr:txBody>
    </cdr:sp>
  </cdr:relSizeAnchor>
  <cdr:relSizeAnchor xmlns:cdr="http://schemas.openxmlformats.org/drawingml/2006/chartDrawing">
    <cdr:from>
      <cdr:x>0.09008</cdr:x>
      <cdr:y>0.66464</cdr:y>
    </cdr:from>
    <cdr:to>
      <cdr:x>0.93729</cdr:x>
      <cdr:y>0.67333</cdr:y>
    </cdr:to>
    <cdr:cxnSp macro="">
      <cdr:nvCxnSpPr>
        <cdr:cNvPr id="4" name="Straight Connector 3">
          <a:extLst xmlns:a="http://schemas.openxmlformats.org/drawingml/2006/main">
            <a:ext uri="{FF2B5EF4-FFF2-40B4-BE49-F238E27FC236}">
              <a16:creationId xmlns:a16="http://schemas.microsoft.com/office/drawing/2014/main" id="{568B6997-EF7B-6D1D-838F-BB0D6EE37B06}"/>
            </a:ext>
          </a:extLst>
        </cdr:cNvPr>
        <cdr:cNvCxnSpPr/>
      </cdr:nvCxnSpPr>
      <cdr:spPr>
        <a:xfrm xmlns:a="http://schemas.openxmlformats.org/drawingml/2006/main" flipV="1">
          <a:off x="601980" y="2914650"/>
          <a:ext cx="5661660" cy="38100"/>
        </a:xfrm>
        <a:prstGeom xmlns:a="http://schemas.openxmlformats.org/drawingml/2006/main" prst="line">
          <a:avLst/>
        </a:prstGeom>
        <a:ln xmlns:a="http://schemas.openxmlformats.org/drawingml/2006/main" w="9525" cap="flat" cmpd="sng" algn="ctr">
          <a:solidFill>
            <a:schemeClr val="dk1"/>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twoCellAnchor>
    <xdr:from>
      <xdr:col>4</xdr:col>
      <xdr:colOff>7620</xdr:colOff>
      <xdr:row>1</xdr:row>
      <xdr:rowOff>0</xdr:rowOff>
    </xdr:from>
    <xdr:to>
      <xdr:col>16</xdr:col>
      <xdr:colOff>0</xdr:colOff>
      <xdr:row>27</xdr:row>
      <xdr:rowOff>0</xdr:rowOff>
    </xdr:to>
    <xdr:graphicFrame macro="">
      <xdr:nvGraphicFramePr>
        <xdr:cNvPr id="2" name="Chart 1">
          <a:extLst>
            <a:ext uri="{FF2B5EF4-FFF2-40B4-BE49-F238E27FC236}">
              <a16:creationId xmlns:a16="http://schemas.microsoft.com/office/drawing/2014/main" id="{9A23824D-4A26-D149-680D-2F33DA477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0.00655</cdr:x>
      <cdr:y>0.07692</cdr:y>
    </cdr:from>
    <cdr:to>
      <cdr:x>0.83316</cdr:x>
      <cdr:y>0.13717</cdr:y>
    </cdr:to>
    <cdr:sp macro="" textlink="">
      <cdr:nvSpPr>
        <cdr:cNvPr id="2" name="TextBox 1">
          <a:extLst xmlns:a="http://schemas.openxmlformats.org/drawingml/2006/main">
            <a:ext uri="{FF2B5EF4-FFF2-40B4-BE49-F238E27FC236}">
              <a16:creationId xmlns:a16="http://schemas.microsoft.com/office/drawing/2014/main" id="{EC43E8D4-7AE7-9053-FFC4-3B3AFD5076D8}"/>
            </a:ext>
          </a:extLst>
        </cdr:cNvPr>
        <cdr:cNvSpPr txBox="1"/>
      </cdr:nvSpPr>
      <cdr:spPr>
        <a:xfrm xmlns:a="http://schemas.openxmlformats.org/drawingml/2006/main">
          <a:off x="47861" y="365760"/>
          <a:ext cx="6040519" cy="286486"/>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50" b="0">
              <a:solidFill>
                <a:schemeClr val="accent1">
                  <a:lumMod val="75000"/>
                </a:schemeClr>
              </a:solidFill>
              <a:latin typeface="+mn-lt"/>
              <a:cs typeface="Times New Roman" panose="02020603050405020304" pitchFamily="18" charset="0"/>
            </a:rPr>
            <a:t>      Potential</a:t>
          </a:r>
          <a:r>
            <a:rPr lang="en-US" sz="1150" b="0" baseline="0">
              <a:solidFill>
                <a:schemeClr val="accent1">
                  <a:lumMod val="75000"/>
                </a:schemeClr>
              </a:solidFill>
              <a:latin typeface="+mn-lt"/>
              <a:cs typeface="Times New Roman" panose="02020603050405020304" pitchFamily="18" charset="0"/>
            </a:rPr>
            <a:t> Customers who can buy Weight Loss Plan</a:t>
          </a:r>
          <a:r>
            <a:rPr lang="en-US" sz="1150" b="0" baseline="0">
              <a:latin typeface="+mn-lt"/>
              <a:cs typeface="Times New Roman" panose="02020603050405020304" pitchFamily="18" charset="0"/>
            </a:rPr>
            <a:t> | </a:t>
          </a:r>
          <a:r>
            <a:rPr lang="en-US" sz="1150" b="0" baseline="0">
              <a:solidFill>
                <a:schemeClr val="bg2">
                  <a:lumMod val="50000"/>
                </a:schemeClr>
              </a:solidFill>
              <a:latin typeface="+mn-lt"/>
              <a:cs typeface="Times New Roman" panose="02020603050405020304" pitchFamily="18" charset="0"/>
            </a:rPr>
            <a:t>Customers not likely to buy the Plan</a:t>
          </a:r>
          <a:endParaRPr lang="en-US" sz="1150" b="0">
            <a:solidFill>
              <a:schemeClr val="bg2">
                <a:lumMod val="50000"/>
              </a:schemeClr>
            </a:solidFill>
            <a:latin typeface="+mn-lt"/>
            <a:cs typeface="Times New Roman" panose="02020603050405020304" pitchFamily="18" charset="0"/>
          </a:endParaRPr>
        </a:p>
      </cdr:txBody>
    </cdr:sp>
  </cdr:relSizeAnchor>
  <cdr:relSizeAnchor xmlns:cdr="http://schemas.openxmlformats.org/drawingml/2006/chartDrawing">
    <cdr:from>
      <cdr:x>0.08238</cdr:x>
      <cdr:y>0.61378</cdr:y>
    </cdr:from>
    <cdr:to>
      <cdr:x>0.96559</cdr:x>
      <cdr:y>0.61538</cdr:y>
    </cdr:to>
    <cdr:cxnSp macro="">
      <cdr:nvCxnSpPr>
        <cdr:cNvPr id="4" name="Straight Connector 3">
          <a:extLst xmlns:a="http://schemas.openxmlformats.org/drawingml/2006/main">
            <a:ext uri="{FF2B5EF4-FFF2-40B4-BE49-F238E27FC236}">
              <a16:creationId xmlns:a16="http://schemas.microsoft.com/office/drawing/2014/main" id="{DBDD5447-3639-590F-ABA6-737F0A7D5A34}"/>
            </a:ext>
          </a:extLst>
        </cdr:cNvPr>
        <cdr:cNvCxnSpPr/>
      </cdr:nvCxnSpPr>
      <cdr:spPr>
        <a:xfrm xmlns:a="http://schemas.openxmlformats.org/drawingml/2006/main" flipV="1">
          <a:off x="601980" y="2918460"/>
          <a:ext cx="6454140" cy="7620"/>
        </a:xfrm>
        <a:prstGeom xmlns:a="http://schemas.openxmlformats.org/drawingml/2006/main" prst="line">
          <a:avLst/>
        </a:prstGeom>
        <a:ln xmlns:a="http://schemas.openxmlformats.org/drawingml/2006/main" w="9525" cap="flat" cmpd="sng" algn="ctr">
          <a:solidFill>
            <a:schemeClr val="dk1"/>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6.xml><?xml version="1.0" encoding="utf-8"?>
<xdr:wsDr xmlns:xdr="http://schemas.openxmlformats.org/drawingml/2006/spreadsheetDrawing" xmlns:a="http://schemas.openxmlformats.org/drawingml/2006/main">
  <xdr:twoCellAnchor>
    <xdr:from>
      <xdr:col>4</xdr:col>
      <xdr:colOff>0</xdr:colOff>
      <xdr:row>0</xdr:row>
      <xdr:rowOff>171450</xdr:rowOff>
    </xdr:from>
    <xdr:to>
      <xdr:col>14</xdr:col>
      <xdr:colOff>586740</xdr:colOff>
      <xdr:row>26</xdr:row>
      <xdr:rowOff>0</xdr:rowOff>
    </xdr:to>
    <xdr:graphicFrame macro="">
      <xdr:nvGraphicFramePr>
        <xdr:cNvPr id="2" name="Chart 1">
          <a:extLst>
            <a:ext uri="{FF2B5EF4-FFF2-40B4-BE49-F238E27FC236}">
              <a16:creationId xmlns:a16="http://schemas.microsoft.com/office/drawing/2014/main" id="{D38AC04A-BDAA-FB5C-7D39-08DA9B50F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0.04438</cdr:x>
      <cdr:y>0.08218</cdr:y>
    </cdr:from>
    <cdr:to>
      <cdr:x>0.86773</cdr:x>
      <cdr:y>0.1503</cdr:y>
    </cdr:to>
    <cdr:sp macro="" textlink="">
      <cdr:nvSpPr>
        <cdr:cNvPr id="2" name="TextBox 1">
          <a:extLst xmlns:a="http://schemas.openxmlformats.org/drawingml/2006/main">
            <a:ext uri="{FF2B5EF4-FFF2-40B4-BE49-F238E27FC236}">
              <a16:creationId xmlns:a16="http://schemas.microsoft.com/office/drawing/2014/main" id="{BB169152-BD91-1F2C-0FC6-8161794FF429}"/>
            </a:ext>
          </a:extLst>
        </cdr:cNvPr>
        <cdr:cNvSpPr txBox="1"/>
      </cdr:nvSpPr>
      <cdr:spPr>
        <a:xfrm xmlns:a="http://schemas.openxmlformats.org/drawingml/2006/main">
          <a:off x="296599" y="360368"/>
          <a:ext cx="5502221" cy="298762"/>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en-US" sz="1150" b="0">
              <a:solidFill>
                <a:schemeClr val="accent1">
                  <a:lumMod val="75000"/>
                </a:schemeClr>
              </a:solidFill>
              <a:latin typeface="+mn-lt"/>
              <a:cs typeface="Times New Roman" panose="02020603050405020304" pitchFamily="18" charset="0"/>
            </a:rPr>
            <a:t>Potential</a:t>
          </a:r>
          <a:r>
            <a:rPr lang="en-US" sz="1150" b="0" baseline="0">
              <a:solidFill>
                <a:schemeClr val="accent1">
                  <a:lumMod val="75000"/>
                </a:schemeClr>
              </a:solidFill>
              <a:latin typeface="+mn-lt"/>
              <a:cs typeface="Times New Roman" panose="02020603050405020304" pitchFamily="18" charset="0"/>
            </a:rPr>
            <a:t> Customers who can buy Weight Loss Plan</a:t>
          </a:r>
          <a:r>
            <a:rPr lang="en-US" sz="1150" b="0" baseline="0">
              <a:latin typeface="+mn-lt"/>
              <a:cs typeface="Times New Roman" panose="02020603050405020304" pitchFamily="18" charset="0"/>
            </a:rPr>
            <a:t> | </a:t>
          </a:r>
          <a:r>
            <a:rPr lang="en-US" sz="1150" b="0" baseline="0">
              <a:solidFill>
                <a:schemeClr val="bg2">
                  <a:lumMod val="50000"/>
                </a:schemeClr>
              </a:solidFill>
              <a:latin typeface="+mn-lt"/>
              <a:cs typeface="Times New Roman" panose="02020603050405020304" pitchFamily="18" charset="0"/>
            </a:rPr>
            <a:t>Customers not likely to buy the Plan</a:t>
          </a:r>
          <a:endParaRPr lang="en-US" sz="1150" b="0">
            <a:solidFill>
              <a:schemeClr val="bg2">
                <a:lumMod val="50000"/>
              </a:schemeClr>
            </a:solidFill>
            <a:latin typeface="+mn-lt"/>
            <a:cs typeface="Times New Roman" panose="02020603050405020304" pitchFamily="18" charset="0"/>
          </a:endParaRPr>
        </a:p>
      </cdr:txBody>
    </cdr:sp>
  </cdr:relSizeAnchor>
  <cdr:relSizeAnchor xmlns:cdr="http://schemas.openxmlformats.org/drawingml/2006/chartDrawing">
    <cdr:from>
      <cdr:x>0.09008</cdr:x>
      <cdr:y>0.66464</cdr:y>
    </cdr:from>
    <cdr:to>
      <cdr:x>0.93729</cdr:x>
      <cdr:y>0.67333</cdr:y>
    </cdr:to>
    <cdr:cxnSp macro="">
      <cdr:nvCxnSpPr>
        <cdr:cNvPr id="4" name="Straight Connector 3">
          <a:extLst xmlns:a="http://schemas.openxmlformats.org/drawingml/2006/main">
            <a:ext uri="{FF2B5EF4-FFF2-40B4-BE49-F238E27FC236}">
              <a16:creationId xmlns:a16="http://schemas.microsoft.com/office/drawing/2014/main" id="{568B6997-EF7B-6D1D-838F-BB0D6EE37B06}"/>
            </a:ext>
          </a:extLst>
        </cdr:cNvPr>
        <cdr:cNvCxnSpPr/>
      </cdr:nvCxnSpPr>
      <cdr:spPr>
        <a:xfrm xmlns:a="http://schemas.openxmlformats.org/drawingml/2006/main" flipV="1">
          <a:off x="601980" y="2914650"/>
          <a:ext cx="5661660" cy="38100"/>
        </a:xfrm>
        <a:prstGeom xmlns:a="http://schemas.openxmlformats.org/drawingml/2006/main" prst="line">
          <a:avLst/>
        </a:prstGeom>
        <a:ln xmlns:a="http://schemas.openxmlformats.org/drawingml/2006/main" w="9525" cap="flat" cmpd="sng" algn="ctr">
          <a:solidFill>
            <a:schemeClr val="dk1"/>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422.950559143515" createdVersion="8" refreshedVersion="8" minRefreshableVersion="3" recordCount="67" xr:uid="{032692D8-DDDA-4AE4-8720-F0C3301BC84F}">
  <cacheSource type="worksheet">
    <worksheetSource ref="A1:C68" sheet="Weight Log Info Cleaned"/>
  </cacheSource>
  <cacheFields count="3">
    <cacheField name="Id" numFmtId="0">
      <sharedItems containsSemiMixedTypes="0" containsString="0" containsNumber="1" containsInteger="1" minValue="1503960366" maxValue="8877689391" count="8">
        <n v="1503960366"/>
        <n v="1927972279"/>
        <n v="2873212765"/>
        <n v="4319703577"/>
        <n v="4558609924"/>
        <n v="5577150313"/>
        <n v="6962181067"/>
        <n v="8877689391"/>
      </sharedItems>
    </cacheField>
    <cacheField name="Weight_Kg" numFmtId="2">
      <sharedItems containsSemiMixedTypes="0" containsString="0" containsNumber="1" minValue="52.599998474121101" maxValue="133.5"/>
    </cacheField>
    <cacheField name="BMI" numFmtId="2">
      <sharedItems containsSemiMixedTypes="0" containsString="0" containsNumber="1" minValue="21.450000762939499" maxValue="47.5400009155273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422.954898495373" createdVersion="8" refreshedVersion="8" minRefreshableVersion="3" recordCount="250" xr:uid="{9B9EFA85-733D-4E56-99B8-FC540495D068}">
  <cacheSource type="worksheet">
    <worksheetSource ref="A1:B251" sheet="Heartrate Cleaned"/>
  </cacheSource>
  <cacheFields count="2">
    <cacheField name="Id" numFmtId="0">
      <sharedItems containsSemiMixedTypes="0" containsString="0" containsNumber="1" containsInteger="1" minValue="2022484408" maxValue="8877689391" count="7">
        <n v="2022484408"/>
        <n v="4558609924"/>
        <n v="2347167796"/>
        <n v="4020332650"/>
        <n v="6117666160"/>
        <n v="6962181067"/>
        <n v="8877689391"/>
      </sharedItems>
    </cacheField>
    <cacheField name="Value" numFmtId="0">
      <sharedItems containsSemiMixedTypes="0" containsString="0" containsNumber="1" containsInteger="1" minValue="180" maxValue="203" count="24">
        <n v="203"/>
        <n v="202"/>
        <n v="201"/>
        <n v="200"/>
        <n v="199"/>
        <n v="198"/>
        <n v="197"/>
        <n v="196"/>
        <n v="195"/>
        <n v="194"/>
        <n v="193"/>
        <n v="192"/>
        <n v="191"/>
        <n v="190"/>
        <n v="189"/>
        <n v="188"/>
        <n v="187"/>
        <n v="186"/>
        <n v="185"/>
        <n v="184"/>
        <n v="183"/>
        <n v="182"/>
        <n v="181"/>
        <n v="18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x v="0"/>
    <n v="52.599998474121101"/>
    <n v="22.649999618530298"/>
  </r>
  <r>
    <x v="0"/>
    <n v="52.599998474121101"/>
    <n v="22.649999618530298"/>
  </r>
  <r>
    <x v="1"/>
    <n v="133.5"/>
    <n v="47.540000915527301"/>
  </r>
  <r>
    <x v="2"/>
    <n v="56.700000762939503"/>
    <n v="21.450000762939499"/>
  </r>
  <r>
    <x v="2"/>
    <n v="57.299999237060497"/>
    <n v="21.690000534057599"/>
  </r>
  <r>
    <x v="3"/>
    <n v="72.400001525878906"/>
    <n v="27.450000762939499"/>
  </r>
  <r>
    <x v="3"/>
    <n v="72.300003051757798"/>
    <n v="27.379999160766602"/>
  </r>
  <r>
    <x v="4"/>
    <n v="69.699996948242202"/>
    <n v="27.25"/>
  </r>
  <r>
    <x v="4"/>
    <n v="70.300003051757798"/>
    <n v="27.459999084472699"/>
  </r>
  <r>
    <x v="4"/>
    <n v="69.900001525878906"/>
    <n v="27.319999694824201"/>
  </r>
  <r>
    <x v="4"/>
    <n v="69.199996948242202"/>
    <n v="27.040000915527301"/>
  </r>
  <r>
    <x v="4"/>
    <n v="69.099998474121094"/>
    <n v="27"/>
  </r>
  <r>
    <x v="5"/>
    <n v="90.699996948242202"/>
    <n v="28"/>
  </r>
  <r>
    <x v="6"/>
    <n v="62.5"/>
    <n v="24.389999389648398"/>
  </r>
  <r>
    <x v="6"/>
    <n v="62.099998474121101"/>
    <n v="24.2399997711182"/>
  </r>
  <r>
    <x v="6"/>
    <n v="61.700000762939503"/>
    <n v="24.100000381469702"/>
  </r>
  <r>
    <x v="6"/>
    <n v="61.5"/>
    <n v="24"/>
  </r>
  <r>
    <x v="6"/>
    <n v="62"/>
    <n v="24.209999084472699"/>
  </r>
  <r>
    <x v="6"/>
    <n v="61.400001525878899"/>
    <n v="23.959999084472699"/>
  </r>
  <r>
    <x v="6"/>
    <n v="61.200000762939503"/>
    <n v="23.889999389648398"/>
  </r>
  <r>
    <x v="6"/>
    <n v="61.400001525878899"/>
    <n v="23.959999084472699"/>
  </r>
  <r>
    <x v="6"/>
    <n v="61.700000762939503"/>
    <n v="24.100000381469702"/>
  </r>
  <r>
    <x v="6"/>
    <n v="61.400001525878899"/>
    <n v="23.959999084472699"/>
  </r>
  <r>
    <x v="6"/>
    <n v="61.400001525878899"/>
    <n v="23.959999084472699"/>
  </r>
  <r>
    <x v="6"/>
    <n v="61.5"/>
    <n v="24"/>
  </r>
  <r>
    <x v="6"/>
    <n v="61.5"/>
    <n v="24"/>
  </r>
  <r>
    <x v="6"/>
    <n v="61.700000762939503"/>
    <n v="24.100000381469702"/>
  </r>
  <r>
    <x v="6"/>
    <n v="61.200000762939503"/>
    <n v="23.889999389648398"/>
  </r>
  <r>
    <x v="6"/>
    <n v="61.200000762939503"/>
    <n v="23.889999389648398"/>
  </r>
  <r>
    <x v="6"/>
    <n v="61.400001525878899"/>
    <n v="23.959999084472699"/>
  </r>
  <r>
    <x v="6"/>
    <n v="61"/>
    <n v="23.819999694824201"/>
  </r>
  <r>
    <x v="6"/>
    <n v="61.700000762939503"/>
    <n v="24.100000381469702"/>
  </r>
  <r>
    <x v="6"/>
    <n v="61.5"/>
    <n v="24"/>
  </r>
  <r>
    <x v="6"/>
    <n v="61"/>
    <n v="23.819999694824201"/>
  </r>
  <r>
    <x v="6"/>
    <n v="61.099998474121101"/>
    <n v="23.850000381469702"/>
  </r>
  <r>
    <x v="6"/>
    <n v="61.299999237060497"/>
    <n v="23.930000305175799"/>
  </r>
  <r>
    <x v="6"/>
    <n v="61.5"/>
    <n v="24"/>
  </r>
  <r>
    <x v="6"/>
    <n v="61.200000762939503"/>
    <n v="23.889999389648398"/>
  </r>
  <r>
    <x v="6"/>
    <n v="61.200000762939503"/>
    <n v="23.889999389648398"/>
  </r>
  <r>
    <x v="6"/>
    <n v="62.400001525878899"/>
    <n v="24.350000381469702"/>
  </r>
  <r>
    <x v="6"/>
    <n v="62.099998474121101"/>
    <n v="24.2399997711182"/>
  </r>
  <r>
    <x v="6"/>
    <n v="61.900001525878899"/>
    <n v="24.170000076293899"/>
  </r>
  <r>
    <x v="6"/>
    <n v="61.900001525878899"/>
    <n v="24.170000076293899"/>
  </r>
  <r>
    <x v="7"/>
    <n v="85.800003051757798"/>
    <n v="25.680000305175799"/>
  </r>
  <r>
    <x v="7"/>
    <n v="84.900001525878906"/>
    <n v="25.409999847412099"/>
  </r>
  <r>
    <x v="7"/>
    <n v="84.5"/>
    <n v="25.309999465942401"/>
  </r>
  <r>
    <x v="7"/>
    <n v="85.5"/>
    <n v="25.590000152587901"/>
  </r>
  <r>
    <x v="7"/>
    <n v="85.800003051757798"/>
    <n v="25.680000305175799"/>
  </r>
  <r>
    <x v="7"/>
    <n v="85.300003051757798"/>
    <n v="25.530000686645501"/>
  </r>
  <r>
    <x v="7"/>
    <n v="84.900001525878906"/>
    <n v="25.409999847412099"/>
  </r>
  <r>
    <x v="7"/>
    <n v="84.5"/>
    <n v="25.290000915527301"/>
  </r>
  <r>
    <x v="7"/>
    <n v="85.5"/>
    <n v="25.590000152587901"/>
  </r>
  <r>
    <x v="7"/>
    <n v="85.5"/>
    <n v="25.590000152587901"/>
  </r>
  <r>
    <x v="7"/>
    <n v="85.400001525878906"/>
    <n v="25.559999465942401"/>
  </r>
  <r>
    <x v="7"/>
    <n v="85.099998474121094"/>
    <n v="25.4899997711182"/>
  </r>
  <r>
    <x v="7"/>
    <n v="85.400001525878906"/>
    <n v="25.559999465942401"/>
  </r>
  <r>
    <x v="7"/>
    <n v="85.099998474121094"/>
    <n v="25.4899997711182"/>
  </r>
  <r>
    <x v="7"/>
    <n v="84.900001525878906"/>
    <n v="25.409999847412099"/>
  </r>
  <r>
    <x v="7"/>
    <n v="85.5"/>
    <n v="25.590000152587901"/>
  </r>
  <r>
    <x v="7"/>
    <n v="85.300003051757798"/>
    <n v="25.530000686645501"/>
  </r>
  <r>
    <x v="7"/>
    <n v="84.900001525878906"/>
    <n v="25.409999847412099"/>
  </r>
  <r>
    <x v="7"/>
    <n v="84.400001525878906"/>
    <n v="25.2600002288818"/>
  </r>
  <r>
    <x v="7"/>
    <n v="85"/>
    <n v="25.440000534057599"/>
  </r>
  <r>
    <x v="7"/>
    <n v="85.400001525878906"/>
    <n v="25.559999465942401"/>
  </r>
  <r>
    <x v="7"/>
    <n v="85.5"/>
    <n v="25.610000610351602"/>
  </r>
  <r>
    <x v="7"/>
    <n v="85.400001525878906"/>
    <n v="25.559999465942401"/>
  </r>
  <r>
    <x v="7"/>
    <n v="84"/>
    <n v="25.1399993896483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r>
  <r>
    <x v="0"/>
    <x v="0"/>
  </r>
  <r>
    <x v="0"/>
    <x v="0"/>
  </r>
  <r>
    <x v="0"/>
    <x v="0"/>
  </r>
  <r>
    <x v="0"/>
    <x v="0"/>
  </r>
  <r>
    <x v="0"/>
    <x v="0"/>
  </r>
  <r>
    <x v="0"/>
    <x v="0"/>
  </r>
  <r>
    <x v="0"/>
    <x v="0"/>
  </r>
  <r>
    <x v="0"/>
    <x v="1"/>
  </r>
  <r>
    <x v="0"/>
    <x v="1"/>
  </r>
  <r>
    <x v="0"/>
    <x v="1"/>
  </r>
  <r>
    <x v="0"/>
    <x v="1"/>
  </r>
  <r>
    <x v="0"/>
    <x v="2"/>
  </r>
  <r>
    <x v="0"/>
    <x v="3"/>
  </r>
  <r>
    <x v="0"/>
    <x v="3"/>
  </r>
  <r>
    <x v="0"/>
    <x v="3"/>
  </r>
  <r>
    <x v="0"/>
    <x v="3"/>
  </r>
  <r>
    <x v="1"/>
    <x v="4"/>
  </r>
  <r>
    <x v="1"/>
    <x v="4"/>
  </r>
  <r>
    <x v="0"/>
    <x v="4"/>
  </r>
  <r>
    <x v="0"/>
    <x v="4"/>
  </r>
  <r>
    <x v="0"/>
    <x v="4"/>
  </r>
  <r>
    <x v="1"/>
    <x v="4"/>
  </r>
  <r>
    <x v="0"/>
    <x v="4"/>
  </r>
  <r>
    <x v="1"/>
    <x v="4"/>
  </r>
  <r>
    <x v="0"/>
    <x v="5"/>
  </r>
  <r>
    <x v="1"/>
    <x v="5"/>
  </r>
  <r>
    <x v="1"/>
    <x v="5"/>
  </r>
  <r>
    <x v="1"/>
    <x v="5"/>
  </r>
  <r>
    <x v="1"/>
    <x v="5"/>
  </r>
  <r>
    <x v="1"/>
    <x v="5"/>
  </r>
  <r>
    <x v="1"/>
    <x v="5"/>
  </r>
  <r>
    <x v="1"/>
    <x v="6"/>
  </r>
  <r>
    <x v="1"/>
    <x v="6"/>
  </r>
  <r>
    <x v="1"/>
    <x v="6"/>
  </r>
  <r>
    <x v="0"/>
    <x v="6"/>
  </r>
  <r>
    <x v="0"/>
    <x v="6"/>
  </r>
  <r>
    <x v="0"/>
    <x v="6"/>
  </r>
  <r>
    <x v="1"/>
    <x v="6"/>
  </r>
  <r>
    <x v="0"/>
    <x v="6"/>
  </r>
  <r>
    <x v="0"/>
    <x v="6"/>
  </r>
  <r>
    <x v="1"/>
    <x v="7"/>
  </r>
  <r>
    <x v="1"/>
    <x v="7"/>
  </r>
  <r>
    <x v="1"/>
    <x v="7"/>
  </r>
  <r>
    <x v="1"/>
    <x v="7"/>
  </r>
  <r>
    <x v="1"/>
    <x v="8"/>
  </r>
  <r>
    <x v="0"/>
    <x v="8"/>
  </r>
  <r>
    <x v="0"/>
    <x v="8"/>
  </r>
  <r>
    <x v="0"/>
    <x v="8"/>
  </r>
  <r>
    <x v="1"/>
    <x v="8"/>
  </r>
  <r>
    <x v="1"/>
    <x v="8"/>
  </r>
  <r>
    <x v="1"/>
    <x v="8"/>
  </r>
  <r>
    <x v="2"/>
    <x v="8"/>
  </r>
  <r>
    <x v="1"/>
    <x v="8"/>
  </r>
  <r>
    <x v="0"/>
    <x v="9"/>
  </r>
  <r>
    <x v="0"/>
    <x v="9"/>
  </r>
  <r>
    <x v="1"/>
    <x v="9"/>
  </r>
  <r>
    <x v="2"/>
    <x v="9"/>
  </r>
  <r>
    <x v="1"/>
    <x v="9"/>
  </r>
  <r>
    <x v="1"/>
    <x v="9"/>
  </r>
  <r>
    <x v="0"/>
    <x v="10"/>
  </r>
  <r>
    <x v="1"/>
    <x v="10"/>
  </r>
  <r>
    <x v="1"/>
    <x v="10"/>
  </r>
  <r>
    <x v="1"/>
    <x v="10"/>
  </r>
  <r>
    <x v="1"/>
    <x v="11"/>
  </r>
  <r>
    <x v="1"/>
    <x v="11"/>
  </r>
  <r>
    <x v="0"/>
    <x v="11"/>
  </r>
  <r>
    <x v="0"/>
    <x v="11"/>
  </r>
  <r>
    <x v="1"/>
    <x v="11"/>
  </r>
  <r>
    <x v="1"/>
    <x v="12"/>
  </r>
  <r>
    <x v="3"/>
    <x v="12"/>
  </r>
  <r>
    <x v="3"/>
    <x v="12"/>
  </r>
  <r>
    <x v="3"/>
    <x v="12"/>
  </r>
  <r>
    <x v="3"/>
    <x v="12"/>
  </r>
  <r>
    <x v="3"/>
    <x v="12"/>
  </r>
  <r>
    <x v="3"/>
    <x v="12"/>
  </r>
  <r>
    <x v="3"/>
    <x v="12"/>
  </r>
  <r>
    <x v="3"/>
    <x v="12"/>
  </r>
  <r>
    <x v="1"/>
    <x v="12"/>
  </r>
  <r>
    <x v="3"/>
    <x v="12"/>
  </r>
  <r>
    <x v="3"/>
    <x v="12"/>
  </r>
  <r>
    <x v="1"/>
    <x v="12"/>
  </r>
  <r>
    <x v="3"/>
    <x v="12"/>
  </r>
  <r>
    <x v="3"/>
    <x v="12"/>
  </r>
  <r>
    <x v="3"/>
    <x v="12"/>
  </r>
  <r>
    <x v="3"/>
    <x v="12"/>
  </r>
  <r>
    <x v="3"/>
    <x v="12"/>
  </r>
  <r>
    <x v="3"/>
    <x v="12"/>
  </r>
  <r>
    <x v="3"/>
    <x v="12"/>
  </r>
  <r>
    <x v="3"/>
    <x v="12"/>
  </r>
  <r>
    <x v="3"/>
    <x v="12"/>
  </r>
  <r>
    <x v="3"/>
    <x v="12"/>
  </r>
  <r>
    <x v="3"/>
    <x v="12"/>
  </r>
  <r>
    <x v="3"/>
    <x v="12"/>
  </r>
  <r>
    <x v="3"/>
    <x v="12"/>
  </r>
  <r>
    <x v="1"/>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3"/>
    <x v="12"/>
  </r>
  <r>
    <x v="2"/>
    <x v="12"/>
  </r>
  <r>
    <x v="3"/>
    <x v="12"/>
  </r>
  <r>
    <x v="3"/>
    <x v="12"/>
  </r>
  <r>
    <x v="3"/>
    <x v="13"/>
  </r>
  <r>
    <x v="3"/>
    <x v="13"/>
  </r>
  <r>
    <x v="3"/>
    <x v="13"/>
  </r>
  <r>
    <x v="3"/>
    <x v="13"/>
  </r>
  <r>
    <x v="1"/>
    <x v="13"/>
  </r>
  <r>
    <x v="1"/>
    <x v="13"/>
  </r>
  <r>
    <x v="1"/>
    <x v="14"/>
  </r>
  <r>
    <x v="0"/>
    <x v="14"/>
  </r>
  <r>
    <x v="1"/>
    <x v="14"/>
  </r>
  <r>
    <x v="3"/>
    <x v="14"/>
  </r>
  <r>
    <x v="0"/>
    <x v="14"/>
  </r>
  <r>
    <x v="4"/>
    <x v="14"/>
  </r>
  <r>
    <x v="3"/>
    <x v="14"/>
  </r>
  <r>
    <x v="1"/>
    <x v="14"/>
  </r>
  <r>
    <x v="0"/>
    <x v="14"/>
  </r>
  <r>
    <x v="4"/>
    <x v="14"/>
  </r>
  <r>
    <x v="0"/>
    <x v="14"/>
  </r>
  <r>
    <x v="1"/>
    <x v="14"/>
  </r>
  <r>
    <x v="0"/>
    <x v="14"/>
  </r>
  <r>
    <x v="2"/>
    <x v="14"/>
  </r>
  <r>
    <x v="1"/>
    <x v="14"/>
  </r>
  <r>
    <x v="0"/>
    <x v="15"/>
  </r>
  <r>
    <x v="1"/>
    <x v="15"/>
  </r>
  <r>
    <x v="1"/>
    <x v="15"/>
  </r>
  <r>
    <x v="3"/>
    <x v="15"/>
  </r>
  <r>
    <x v="4"/>
    <x v="15"/>
  </r>
  <r>
    <x v="0"/>
    <x v="15"/>
  </r>
  <r>
    <x v="1"/>
    <x v="15"/>
  </r>
  <r>
    <x v="1"/>
    <x v="15"/>
  </r>
  <r>
    <x v="2"/>
    <x v="15"/>
  </r>
  <r>
    <x v="0"/>
    <x v="15"/>
  </r>
  <r>
    <x v="1"/>
    <x v="16"/>
  </r>
  <r>
    <x v="1"/>
    <x v="16"/>
  </r>
  <r>
    <x v="1"/>
    <x v="16"/>
  </r>
  <r>
    <x v="1"/>
    <x v="16"/>
  </r>
  <r>
    <x v="4"/>
    <x v="16"/>
  </r>
  <r>
    <x v="3"/>
    <x v="16"/>
  </r>
  <r>
    <x v="1"/>
    <x v="16"/>
  </r>
  <r>
    <x v="2"/>
    <x v="16"/>
  </r>
  <r>
    <x v="1"/>
    <x v="17"/>
  </r>
  <r>
    <x v="3"/>
    <x v="17"/>
  </r>
  <r>
    <x v="1"/>
    <x v="17"/>
  </r>
  <r>
    <x v="1"/>
    <x v="17"/>
  </r>
  <r>
    <x v="1"/>
    <x v="17"/>
  </r>
  <r>
    <x v="0"/>
    <x v="18"/>
  </r>
  <r>
    <x v="1"/>
    <x v="18"/>
  </r>
  <r>
    <x v="0"/>
    <x v="18"/>
  </r>
  <r>
    <x v="0"/>
    <x v="18"/>
  </r>
  <r>
    <x v="3"/>
    <x v="18"/>
  </r>
  <r>
    <x v="0"/>
    <x v="18"/>
  </r>
  <r>
    <x v="0"/>
    <x v="18"/>
  </r>
  <r>
    <x v="1"/>
    <x v="18"/>
  </r>
  <r>
    <x v="1"/>
    <x v="18"/>
  </r>
  <r>
    <x v="0"/>
    <x v="18"/>
  </r>
  <r>
    <x v="1"/>
    <x v="19"/>
  </r>
  <r>
    <x v="5"/>
    <x v="19"/>
  </r>
  <r>
    <x v="3"/>
    <x v="19"/>
  </r>
  <r>
    <x v="0"/>
    <x v="19"/>
  </r>
  <r>
    <x v="1"/>
    <x v="19"/>
  </r>
  <r>
    <x v="2"/>
    <x v="19"/>
  </r>
  <r>
    <x v="2"/>
    <x v="20"/>
  </r>
  <r>
    <x v="1"/>
    <x v="20"/>
  </r>
  <r>
    <x v="5"/>
    <x v="20"/>
  </r>
  <r>
    <x v="5"/>
    <x v="20"/>
  </r>
  <r>
    <x v="3"/>
    <x v="20"/>
  </r>
  <r>
    <x v="0"/>
    <x v="20"/>
  </r>
  <r>
    <x v="0"/>
    <x v="20"/>
  </r>
  <r>
    <x v="1"/>
    <x v="20"/>
  </r>
  <r>
    <x v="1"/>
    <x v="20"/>
  </r>
  <r>
    <x v="1"/>
    <x v="20"/>
  </r>
  <r>
    <x v="0"/>
    <x v="20"/>
  </r>
  <r>
    <x v="1"/>
    <x v="20"/>
  </r>
  <r>
    <x v="0"/>
    <x v="20"/>
  </r>
  <r>
    <x v="0"/>
    <x v="20"/>
  </r>
  <r>
    <x v="2"/>
    <x v="20"/>
  </r>
  <r>
    <x v="0"/>
    <x v="20"/>
  </r>
  <r>
    <x v="0"/>
    <x v="20"/>
  </r>
  <r>
    <x v="0"/>
    <x v="20"/>
  </r>
  <r>
    <x v="0"/>
    <x v="20"/>
  </r>
  <r>
    <x v="0"/>
    <x v="20"/>
  </r>
  <r>
    <x v="0"/>
    <x v="20"/>
  </r>
  <r>
    <x v="1"/>
    <x v="21"/>
  </r>
  <r>
    <x v="5"/>
    <x v="21"/>
  </r>
  <r>
    <x v="1"/>
    <x v="21"/>
  </r>
  <r>
    <x v="3"/>
    <x v="21"/>
  </r>
  <r>
    <x v="1"/>
    <x v="21"/>
  </r>
  <r>
    <x v="5"/>
    <x v="21"/>
  </r>
  <r>
    <x v="1"/>
    <x v="21"/>
  </r>
  <r>
    <x v="1"/>
    <x v="21"/>
  </r>
  <r>
    <x v="0"/>
    <x v="21"/>
  </r>
  <r>
    <x v="5"/>
    <x v="22"/>
  </r>
  <r>
    <x v="1"/>
    <x v="22"/>
  </r>
  <r>
    <x v="1"/>
    <x v="22"/>
  </r>
  <r>
    <x v="5"/>
    <x v="22"/>
  </r>
  <r>
    <x v="5"/>
    <x v="22"/>
  </r>
  <r>
    <x v="1"/>
    <x v="22"/>
  </r>
  <r>
    <x v="4"/>
    <x v="22"/>
  </r>
  <r>
    <x v="3"/>
    <x v="22"/>
  </r>
  <r>
    <x v="1"/>
    <x v="22"/>
  </r>
  <r>
    <x v="1"/>
    <x v="22"/>
  </r>
  <r>
    <x v="0"/>
    <x v="22"/>
  </r>
  <r>
    <x v="0"/>
    <x v="22"/>
  </r>
  <r>
    <x v="0"/>
    <x v="22"/>
  </r>
  <r>
    <x v="4"/>
    <x v="22"/>
  </r>
  <r>
    <x v="0"/>
    <x v="22"/>
  </r>
  <r>
    <x v="6"/>
    <x v="23"/>
  </r>
  <r>
    <x v="5"/>
    <x v="23"/>
  </r>
  <r>
    <x v="0"/>
    <x v="23"/>
  </r>
  <r>
    <x v="0"/>
    <x v="23"/>
  </r>
  <r>
    <x v="3"/>
    <x v="23"/>
  </r>
  <r>
    <x v="3"/>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D2FBDD-7593-4F37-9792-0F185534202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Customer Id">
  <location ref="B2:C10" firstHeaderRow="1" firstDataRow="1" firstDataCol="1"/>
  <pivotFields count="3">
    <pivotField axis="axisRow"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numFmtId="2" showAll="0"/>
    <pivotField dataField="1" numFmtId="2" showAll="0"/>
  </pivotFields>
  <rowFields count="1">
    <field x="0"/>
  </rowFields>
  <rowItems count="8">
    <i>
      <x v="2"/>
    </i>
    <i>
      <x/>
    </i>
    <i>
      <x v="6"/>
    </i>
    <i>
      <x v="7"/>
    </i>
    <i>
      <x v="4"/>
    </i>
    <i>
      <x v="3"/>
    </i>
    <i>
      <x v="5"/>
    </i>
    <i>
      <x v="1"/>
    </i>
  </rowItems>
  <colItems count="1">
    <i/>
  </colItems>
  <dataFields count="1">
    <dataField name="Average BMI" fld="2" subtotal="average" baseField="0" baseItem="0" numFmtId="2"/>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7"/>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5"/>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6"/>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0" count="1" selected="0">
            <x v="2"/>
          </reference>
        </references>
      </pivotArea>
    </chartFormat>
    <chartFormat chart="3" format="20">
      <pivotArea type="data" outline="0" fieldPosition="0">
        <references count="2">
          <reference field="4294967294" count="1" selected="0">
            <x v="0"/>
          </reference>
          <reference field="0" count="1" selected="0">
            <x v="0"/>
          </reference>
        </references>
      </pivotArea>
    </chartFormat>
    <chartFormat chart="3" format="21">
      <pivotArea type="data" outline="0" fieldPosition="0">
        <references count="2">
          <reference field="4294967294" count="1" selected="0">
            <x v="0"/>
          </reference>
          <reference field="0" count="1" selected="0">
            <x v="6"/>
          </reference>
        </references>
      </pivotArea>
    </chartFormat>
    <chartFormat chart="3" format="22">
      <pivotArea type="data" outline="0" fieldPosition="0">
        <references count="2">
          <reference field="4294967294" count="1" selected="0">
            <x v="0"/>
          </reference>
          <reference field="0" count="1" selected="0">
            <x v="7"/>
          </reference>
        </references>
      </pivotArea>
    </chartFormat>
    <chartFormat chart="3" format="23">
      <pivotArea type="data" outline="0" fieldPosition="0">
        <references count="2">
          <reference field="4294967294" count="1" selected="0">
            <x v="0"/>
          </reference>
          <reference field="0" count="1" selected="0">
            <x v="4"/>
          </reference>
        </references>
      </pivotArea>
    </chartFormat>
    <chartFormat chart="3" format="24">
      <pivotArea type="data" outline="0" fieldPosition="0">
        <references count="2">
          <reference field="4294967294" count="1" selected="0">
            <x v="0"/>
          </reference>
          <reference field="0" count="1" selected="0">
            <x v="3"/>
          </reference>
        </references>
      </pivotArea>
    </chartFormat>
    <chartFormat chart="3" format="25">
      <pivotArea type="data" outline="0" fieldPosition="0">
        <references count="2">
          <reference field="4294967294" count="1" selected="0">
            <x v="0"/>
          </reference>
          <reference field="0" count="1" selected="0">
            <x v="5"/>
          </reference>
        </references>
      </pivotArea>
    </chartFormat>
    <chartFormat chart="3" format="2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8F8BFF-C4BD-457E-9F43-0CFA7F824F3D}"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Customer Id">
  <location ref="B2:C9" firstHeaderRow="1" firstDataRow="1" firstDataCol="1"/>
  <pivotFields count="2">
    <pivotField axis="axisRow" showAll="0" sortType="ascending">
      <items count="8">
        <item x="0"/>
        <item x="2"/>
        <item x="3"/>
        <item x="1"/>
        <item x="4"/>
        <item x="5"/>
        <item x="6"/>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7">
    <i>
      <x v="6"/>
    </i>
    <i>
      <x v="5"/>
    </i>
    <i>
      <x v="4"/>
    </i>
    <i>
      <x v="2"/>
    </i>
    <i>
      <x v="1"/>
    </i>
    <i>
      <x v="3"/>
    </i>
    <i>
      <x/>
    </i>
  </rowItems>
  <colItems count="1">
    <i/>
  </colItems>
  <dataFields count="1">
    <dataField name="Heartbeat" fld="1" subtotal="max"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0" format="2">
      <pivotArea type="data" outline="0" fieldPosition="0">
        <references count="2">
          <reference field="4294967294" count="1" selected="0">
            <x v="0"/>
          </reference>
          <reference field="0" count="1" selected="0">
            <x v="6"/>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6"/>
          </reference>
        </references>
      </pivotArea>
    </chartFormat>
    <chartFormat chart="6" format="10">
      <pivotArea type="data" outline="0" fieldPosition="0">
        <references count="2">
          <reference field="4294967294" count="1" selected="0">
            <x v="0"/>
          </reference>
          <reference field="0" count="1" selected="0">
            <x v="5"/>
          </reference>
        </references>
      </pivotArea>
    </chartFormat>
    <chartFormat chart="6" format="11">
      <pivotArea type="data" outline="0" fieldPosition="0">
        <references count="2">
          <reference field="4294967294" count="1" selected="0">
            <x v="0"/>
          </reference>
          <reference field="0" count="1" selected="0">
            <x v="4"/>
          </reference>
        </references>
      </pivotArea>
    </chartFormat>
    <chartFormat chart="6" format="12">
      <pivotArea type="data" outline="0" fieldPosition="0">
        <references count="2">
          <reference field="4294967294" count="1" selected="0">
            <x v="0"/>
          </reference>
          <reference field="0" count="1" selected="0">
            <x v="2"/>
          </reference>
        </references>
      </pivotArea>
    </chartFormat>
    <chartFormat chart="6" format="13">
      <pivotArea type="data" outline="0" fieldPosition="0">
        <references count="2">
          <reference field="4294967294" count="1" selected="0">
            <x v="0"/>
          </reference>
          <reference field="0" count="1" selected="0">
            <x v="1"/>
          </reference>
        </references>
      </pivotArea>
    </chartFormat>
    <chartFormat chart="6" format="14">
      <pivotArea type="data" outline="0" fieldPosition="0">
        <references count="2">
          <reference field="4294967294" count="1" selected="0">
            <x v="0"/>
          </reference>
          <reference field="0" count="1" selected="0">
            <x v="3"/>
          </reference>
        </references>
      </pivotArea>
    </chartFormat>
    <chartFormat chart="6" format="15">
      <pivotArea type="data" outline="0" fieldPosition="0">
        <references count="2">
          <reference field="4294967294" count="1" selected="0">
            <x v="0"/>
          </reference>
          <reference field="0" count="1" selected="0">
            <x v="0"/>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0" count="1" selected="0">
            <x v="6"/>
          </reference>
        </references>
      </pivotArea>
    </chartFormat>
    <chartFormat chart="7" format="18">
      <pivotArea type="data" outline="0" fieldPosition="0">
        <references count="2">
          <reference field="4294967294" count="1" selected="0">
            <x v="0"/>
          </reference>
          <reference field="0" count="1" selected="0">
            <x v="5"/>
          </reference>
        </references>
      </pivotArea>
    </chartFormat>
    <chartFormat chart="7" format="19">
      <pivotArea type="data" outline="0" fieldPosition="0">
        <references count="2">
          <reference field="4294967294" count="1" selected="0">
            <x v="0"/>
          </reference>
          <reference field="0" count="1" selected="0">
            <x v="4"/>
          </reference>
        </references>
      </pivotArea>
    </chartFormat>
    <chartFormat chart="7" format="20">
      <pivotArea type="data" outline="0" fieldPosition="0">
        <references count="2">
          <reference field="4294967294" count="1" selected="0">
            <x v="0"/>
          </reference>
          <reference field="0" count="1" selected="0">
            <x v="2"/>
          </reference>
        </references>
      </pivotArea>
    </chartFormat>
    <chartFormat chart="7" format="21">
      <pivotArea type="data" outline="0" fieldPosition="0">
        <references count="2">
          <reference field="4294967294" count="1" selected="0">
            <x v="0"/>
          </reference>
          <reference field="0" count="1" selected="0">
            <x v="1"/>
          </reference>
        </references>
      </pivotArea>
    </chartFormat>
    <chartFormat chart="7" format="22">
      <pivotArea type="data" outline="0" fieldPosition="0">
        <references count="2">
          <reference field="4294967294" count="1" selected="0">
            <x v="0"/>
          </reference>
          <reference field="0" count="1" selected="0">
            <x v="3"/>
          </reference>
        </references>
      </pivotArea>
    </chartFormat>
    <chartFormat chart="7" format="23">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035C9-1DA9-42E5-9E21-68E07724965F}">
  <dimension ref="B2:W13"/>
  <sheetViews>
    <sheetView showGridLines="0" tabSelected="1" workbookViewId="0"/>
  </sheetViews>
  <sheetFormatPr defaultRowHeight="14.4" x14ac:dyDescent="0.3"/>
  <cols>
    <col min="1" max="1" width="8.88671875" customWidth="1"/>
  </cols>
  <sheetData>
    <row r="2" spans="2:23" ht="34.200000000000003" thickBot="1" x14ac:dyDescent="0.35">
      <c r="I2" s="17" t="s">
        <v>9</v>
      </c>
      <c r="J2" s="17"/>
      <c r="K2" s="17"/>
      <c r="L2" s="17"/>
      <c r="M2" s="17"/>
      <c r="N2" s="17"/>
    </row>
    <row r="3" spans="2:23" ht="15" thickTop="1" x14ac:dyDescent="0.3"/>
    <row r="4" spans="2:23" ht="19.8" x14ac:dyDescent="0.3">
      <c r="B4" s="18" t="s">
        <v>17</v>
      </c>
      <c r="C4" s="18"/>
      <c r="D4" s="18"/>
      <c r="E4" s="18"/>
      <c r="F4" s="18"/>
      <c r="G4" s="18"/>
      <c r="H4" s="18"/>
      <c r="I4" s="18"/>
    </row>
    <row r="6" spans="2:23" ht="16.8" x14ac:dyDescent="0.3">
      <c r="B6" s="16" t="s">
        <v>12</v>
      </c>
      <c r="C6" s="16"/>
      <c r="D6" s="16"/>
      <c r="E6" s="16"/>
      <c r="F6" s="16"/>
      <c r="G6" s="16"/>
      <c r="H6" s="16"/>
      <c r="I6" s="16"/>
      <c r="J6" s="16"/>
      <c r="K6" s="16"/>
      <c r="L6" s="16"/>
      <c r="M6" s="16"/>
      <c r="N6" s="16"/>
      <c r="O6" s="16"/>
      <c r="P6" s="16"/>
      <c r="Q6" s="16"/>
      <c r="R6" s="16"/>
      <c r="S6" s="16"/>
      <c r="T6" s="16"/>
      <c r="U6" s="16"/>
      <c r="V6" s="16"/>
      <c r="W6" s="16"/>
    </row>
    <row r="7" spans="2:23" ht="16.8" x14ac:dyDescent="0.3">
      <c r="B7" s="16" t="s">
        <v>14</v>
      </c>
      <c r="C7" s="16"/>
      <c r="D7" s="16"/>
      <c r="E7" s="16"/>
      <c r="F7" s="16"/>
      <c r="G7" s="16"/>
      <c r="H7" s="16"/>
      <c r="I7" s="16"/>
      <c r="J7" s="16"/>
      <c r="K7" s="16"/>
      <c r="L7" s="16"/>
      <c r="M7" s="16"/>
      <c r="N7" s="16"/>
      <c r="O7" s="16"/>
      <c r="P7" s="16"/>
      <c r="Q7" s="16"/>
      <c r="R7" s="16"/>
      <c r="S7" s="16"/>
      <c r="T7" s="16"/>
      <c r="U7" s="16"/>
      <c r="V7" s="16"/>
      <c r="W7" s="16"/>
    </row>
    <row r="9" spans="2:23" x14ac:dyDescent="0.3">
      <c r="B9" s="19" t="s">
        <v>13</v>
      </c>
      <c r="C9" s="19"/>
      <c r="D9" s="19"/>
      <c r="E9" s="19"/>
      <c r="F9" s="19"/>
      <c r="G9" s="19"/>
      <c r="H9" s="19"/>
      <c r="I9" s="19"/>
      <c r="J9" s="19"/>
      <c r="K9" s="19"/>
      <c r="L9" s="19"/>
      <c r="M9" s="19"/>
      <c r="N9" s="19"/>
      <c r="O9" s="19"/>
      <c r="P9" s="19"/>
      <c r="Q9" s="19"/>
      <c r="R9" s="19"/>
      <c r="S9" s="19"/>
      <c r="T9" s="19"/>
      <c r="U9" s="19"/>
      <c r="V9" s="19"/>
      <c r="W9" s="19"/>
    </row>
    <row r="10" spans="2:23" x14ac:dyDescent="0.3">
      <c r="B10" s="19"/>
      <c r="C10" s="19"/>
      <c r="D10" s="19"/>
      <c r="E10" s="19"/>
      <c r="F10" s="19"/>
      <c r="G10" s="19"/>
      <c r="H10" s="19"/>
      <c r="I10" s="19"/>
      <c r="J10" s="19"/>
      <c r="K10" s="19"/>
      <c r="L10" s="19"/>
      <c r="M10" s="19"/>
      <c r="N10" s="19"/>
      <c r="O10" s="19"/>
      <c r="P10" s="19"/>
      <c r="Q10" s="19"/>
      <c r="R10" s="19"/>
      <c r="S10" s="19"/>
      <c r="T10" s="19"/>
      <c r="U10" s="19"/>
      <c r="V10" s="19"/>
      <c r="W10" s="19"/>
    </row>
    <row r="11" spans="2:23" ht="16.8" x14ac:dyDescent="0.3">
      <c r="B11" s="16" t="s">
        <v>15</v>
      </c>
      <c r="C11" s="16"/>
      <c r="D11" s="16"/>
      <c r="E11" s="16"/>
      <c r="F11" s="16"/>
      <c r="G11" s="16"/>
      <c r="H11" s="16"/>
      <c r="I11" s="16"/>
      <c r="J11" s="16"/>
      <c r="K11" s="16"/>
      <c r="L11" s="16"/>
      <c r="M11" s="16"/>
      <c r="N11" s="16"/>
      <c r="O11" s="16"/>
      <c r="P11" s="16"/>
      <c r="Q11" s="16"/>
      <c r="R11" s="16"/>
      <c r="S11" s="16"/>
      <c r="T11" s="16"/>
      <c r="U11" s="16"/>
      <c r="V11" s="16"/>
      <c r="W11" s="16"/>
    </row>
    <row r="13" spans="2:23" ht="16.8" x14ac:dyDescent="0.3">
      <c r="B13" s="16" t="s">
        <v>16</v>
      </c>
      <c r="C13" s="16"/>
      <c r="D13" s="16"/>
      <c r="E13" s="16"/>
      <c r="F13" s="16"/>
      <c r="G13" s="16"/>
      <c r="H13" s="16"/>
      <c r="I13" s="16"/>
      <c r="J13" s="16"/>
      <c r="K13" s="16"/>
      <c r="L13" s="16"/>
      <c r="M13" s="16"/>
    </row>
  </sheetData>
  <mergeCells count="7">
    <mergeCell ref="B13:M13"/>
    <mergeCell ref="I2:N2"/>
    <mergeCell ref="B4:I4"/>
    <mergeCell ref="B6:W6"/>
    <mergeCell ref="B7:W7"/>
    <mergeCell ref="B9:W10"/>
    <mergeCell ref="B11:W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303F8-2B93-42F9-B4B7-DB9F44B7DFE4}">
  <dimension ref="A1:M68"/>
  <sheetViews>
    <sheetView workbookViewId="0"/>
  </sheetViews>
  <sheetFormatPr defaultRowHeight="14.4" x14ac:dyDescent="0.3"/>
  <cols>
    <col min="1" max="1" width="11" bestFit="1" customWidth="1"/>
    <col min="2" max="2" width="10.109375" bestFit="1" customWidth="1"/>
    <col min="3" max="3" width="5.5546875" bestFit="1" customWidth="1"/>
  </cols>
  <sheetData>
    <row r="1" spans="1:13" x14ac:dyDescent="0.3">
      <c r="A1" s="5" t="s">
        <v>0</v>
      </c>
      <c r="B1" s="7" t="s">
        <v>2</v>
      </c>
      <c r="C1" s="6" t="s">
        <v>3</v>
      </c>
    </row>
    <row r="2" spans="1:13" x14ac:dyDescent="0.3">
      <c r="A2" s="1">
        <v>1503960366</v>
      </c>
      <c r="B2" s="8">
        <v>52.599998474121101</v>
      </c>
      <c r="C2" s="9">
        <v>22.649999618530298</v>
      </c>
      <c r="E2" s="20" t="s">
        <v>8</v>
      </c>
      <c r="F2" s="21"/>
      <c r="G2" s="21"/>
      <c r="H2" s="21"/>
      <c r="I2" s="21"/>
      <c r="J2" s="21"/>
      <c r="K2" s="21"/>
      <c r="L2" s="21"/>
      <c r="M2" s="22"/>
    </row>
    <row r="3" spans="1:13" x14ac:dyDescent="0.3">
      <c r="A3" s="1">
        <v>1503960366</v>
      </c>
      <c r="B3" s="8">
        <v>52.599998474121101</v>
      </c>
      <c r="C3" s="9">
        <v>22.649999618530298</v>
      </c>
      <c r="E3" s="23"/>
      <c r="F3" s="24"/>
      <c r="G3" s="24"/>
      <c r="H3" s="24"/>
      <c r="I3" s="24"/>
      <c r="J3" s="24"/>
      <c r="K3" s="24"/>
      <c r="L3" s="24"/>
      <c r="M3" s="25"/>
    </row>
    <row r="4" spans="1:13" x14ac:dyDescent="0.3">
      <c r="A4" s="1">
        <v>1927972279</v>
      </c>
      <c r="B4" s="8">
        <v>133.5</v>
      </c>
      <c r="C4" s="9">
        <v>47.540000915527301</v>
      </c>
      <c r="E4" s="23"/>
      <c r="F4" s="24"/>
      <c r="G4" s="24"/>
      <c r="H4" s="24"/>
      <c r="I4" s="24"/>
      <c r="J4" s="24"/>
      <c r="K4" s="24"/>
      <c r="L4" s="24"/>
      <c r="M4" s="25"/>
    </row>
    <row r="5" spans="1:13" x14ac:dyDescent="0.3">
      <c r="A5" s="1">
        <v>2873212765</v>
      </c>
      <c r="B5" s="8">
        <v>56.700000762939503</v>
      </c>
      <c r="C5" s="9">
        <v>21.450000762939499</v>
      </c>
      <c r="E5" s="23"/>
      <c r="F5" s="24"/>
      <c r="G5" s="24"/>
      <c r="H5" s="24"/>
      <c r="I5" s="24"/>
      <c r="J5" s="24"/>
      <c r="K5" s="24"/>
      <c r="L5" s="24"/>
      <c r="M5" s="25"/>
    </row>
    <row r="6" spans="1:13" x14ac:dyDescent="0.3">
      <c r="A6" s="1">
        <v>2873212765</v>
      </c>
      <c r="B6" s="8">
        <v>57.299999237060497</v>
      </c>
      <c r="C6" s="9">
        <v>21.690000534057599</v>
      </c>
      <c r="E6" s="26"/>
      <c r="F6" s="27"/>
      <c r="G6" s="27"/>
      <c r="H6" s="27"/>
      <c r="I6" s="27"/>
      <c r="J6" s="27"/>
      <c r="K6" s="27"/>
      <c r="L6" s="27"/>
      <c r="M6" s="28"/>
    </row>
    <row r="7" spans="1:13" x14ac:dyDescent="0.3">
      <c r="A7" s="1">
        <v>4319703577</v>
      </c>
      <c r="B7" s="8">
        <v>72.400001525878906</v>
      </c>
      <c r="C7" s="9">
        <v>27.450000762939499</v>
      </c>
    </row>
    <row r="8" spans="1:13" x14ac:dyDescent="0.3">
      <c r="A8" s="1">
        <v>4319703577</v>
      </c>
      <c r="B8" s="8">
        <v>72.300003051757798</v>
      </c>
      <c r="C8" s="9">
        <v>27.379999160766602</v>
      </c>
    </row>
    <row r="9" spans="1:13" x14ac:dyDescent="0.3">
      <c r="A9" s="1">
        <v>4558609924</v>
      </c>
      <c r="B9" s="8">
        <v>69.699996948242202</v>
      </c>
      <c r="C9" s="9">
        <v>27.25</v>
      </c>
    </row>
    <row r="10" spans="1:13" x14ac:dyDescent="0.3">
      <c r="A10" s="1">
        <v>4558609924</v>
      </c>
      <c r="B10" s="8">
        <v>70.300003051757798</v>
      </c>
      <c r="C10" s="9">
        <v>27.459999084472699</v>
      </c>
    </row>
    <row r="11" spans="1:13" x14ac:dyDescent="0.3">
      <c r="A11" s="1">
        <v>4558609924</v>
      </c>
      <c r="B11" s="8">
        <v>69.900001525878906</v>
      </c>
      <c r="C11" s="9">
        <v>27.319999694824201</v>
      </c>
    </row>
    <row r="12" spans="1:13" x14ac:dyDescent="0.3">
      <c r="A12" s="1">
        <v>4558609924</v>
      </c>
      <c r="B12" s="8">
        <v>69.199996948242202</v>
      </c>
      <c r="C12" s="9">
        <v>27.040000915527301</v>
      </c>
    </row>
    <row r="13" spans="1:13" x14ac:dyDescent="0.3">
      <c r="A13" s="1">
        <v>4558609924</v>
      </c>
      <c r="B13" s="8">
        <v>69.099998474121094</v>
      </c>
      <c r="C13" s="9">
        <v>27</v>
      </c>
    </row>
    <row r="14" spans="1:13" x14ac:dyDescent="0.3">
      <c r="A14" s="1">
        <v>5577150313</v>
      </c>
      <c r="B14" s="8">
        <v>90.699996948242202</v>
      </c>
      <c r="C14" s="9">
        <v>28</v>
      </c>
    </row>
    <row r="15" spans="1:13" x14ac:dyDescent="0.3">
      <c r="A15" s="1">
        <v>6962181067</v>
      </c>
      <c r="B15" s="8">
        <v>62.5</v>
      </c>
      <c r="C15" s="9">
        <v>24.389999389648398</v>
      </c>
    </row>
    <row r="16" spans="1:13" x14ac:dyDescent="0.3">
      <c r="A16" s="1">
        <v>6962181067</v>
      </c>
      <c r="B16" s="8">
        <v>62.099998474121101</v>
      </c>
      <c r="C16" s="9">
        <v>24.2399997711182</v>
      </c>
    </row>
    <row r="17" spans="1:3" x14ac:dyDescent="0.3">
      <c r="A17" s="1">
        <v>6962181067</v>
      </c>
      <c r="B17" s="8">
        <v>61.700000762939503</v>
      </c>
      <c r="C17" s="9">
        <v>24.100000381469702</v>
      </c>
    </row>
    <row r="18" spans="1:3" x14ac:dyDescent="0.3">
      <c r="A18" s="1">
        <v>6962181067</v>
      </c>
      <c r="B18" s="8">
        <v>61.5</v>
      </c>
      <c r="C18" s="9">
        <v>24</v>
      </c>
    </row>
    <row r="19" spans="1:3" x14ac:dyDescent="0.3">
      <c r="A19" s="1">
        <v>6962181067</v>
      </c>
      <c r="B19" s="8">
        <v>62</v>
      </c>
      <c r="C19" s="9">
        <v>24.209999084472699</v>
      </c>
    </row>
    <row r="20" spans="1:3" x14ac:dyDescent="0.3">
      <c r="A20" s="1">
        <v>6962181067</v>
      </c>
      <c r="B20" s="8">
        <v>61.400001525878899</v>
      </c>
      <c r="C20" s="9">
        <v>23.959999084472699</v>
      </c>
    </row>
    <row r="21" spans="1:3" x14ac:dyDescent="0.3">
      <c r="A21" s="1">
        <v>6962181067</v>
      </c>
      <c r="B21" s="8">
        <v>61.200000762939503</v>
      </c>
      <c r="C21" s="9">
        <v>23.889999389648398</v>
      </c>
    </row>
    <row r="22" spans="1:3" x14ac:dyDescent="0.3">
      <c r="A22" s="1">
        <v>6962181067</v>
      </c>
      <c r="B22" s="8">
        <v>61.400001525878899</v>
      </c>
      <c r="C22" s="9">
        <v>23.959999084472699</v>
      </c>
    </row>
    <row r="23" spans="1:3" x14ac:dyDescent="0.3">
      <c r="A23" s="1">
        <v>6962181067</v>
      </c>
      <c r="B23" s="8">
        <v>61.700000762939503</v>
      </c>
      <c r="C23" s="9">
        <v>24.100000381469702</v>
      </c>
    </row>
    <row r="24" spans="1:3" x14ac:dyDescent="0.3">
      <c r="A24" s="1">
        <v>6962181067</v>
      </c>
      <c r="B24" s="8">
        <v>61.400001525878899</v>
      </c>
      <c r="C24" s="9">
        <v>23.959999084472699</v>
      </c>
    </row>
    <row r="25" spans="1:3" x14ac:dyDescent="0.3">
      <c r="A25" s="1">
        <v>6962181067</v>
      </c>
      <c r="B25" s="8">
        <v>61.400001525878899</v>
      </c>
      <c r="C25" s="9">
        <v>23.959999084472699</v>
      </c>
    </row>
    <row r="26" spans="1:3" x14ac:dyDescent="0.3">
      <c r="A26" s="1">
        <v>6962181067</v>
      </c>
      <c r="B26" s="8">
        <v>61.5</v>
      </c>
      <c r="C26" s="9">
        <v>24</v>
      </c>
    </row>
    <row r="27" spans="1:3" x14ac:dyDescent="0.3">
      <c r="A27" s="1">
        <v>6962181067</v>
      </c>
      <c r="B27" s="8">
        <v>61.5</v>
      </c>
      <c r="C27" s="9">
        <v>24</v>
      </c>
    </row>
    <row r="28" spans="1:3" x14ac:dyDescent="0.3">
      <c r="A28" s="1">
        <v>6962181067</v>
      </c>
      <c r="B28" s="8">
        <v>61.700000762939503</v>
      </c>
      <c r="C28" s="9">
        <v>24.100000381469702</v>
      </c>
    </row>
    <row r="29" spans="1:3" x14ac:dyDescent="0.3">
      <c r="A29" s="1">
        <v>6962181067</v>
      </c>
      <c r="B29" s="8">
        <v>61.200000762939503</v>
      </c>
      <c r="C29" s="9">
        <v>23.889999389648398</v>
      </c>
    </row>
    <row r="30" spans="1:3" x14ac:dyDescent="0.3">
      <c r="A30" s="1">
        <v>6962181067</v>
      </c>
      <c r="B30" s="8">
        <v>61.200000762939503</v>
      </c>
      <c r="C30" s="9">
        <v>23.889999389648398</v>
      </c>
    </row>
    <row r="31" spans="1:3" x14ac:dyDescent="0.3">
      <c r="A31" s="1">
        <v>6962181067</v>
      </c>
      <c r="B31" s="8">
        <v>61.400001525878899</v>
      </c>
      <c r="C31" s="9">
        <v>23.959999084472699</v>
      </c>
    </row>
    <row r="32" spans="1:3" x14ac:dyDescent="0.3">
      <c r="A32" s="1">
        <v>6962181067</v>
      </c>
      <c r="B32" s="8">
        <v>61</v>
      </c>
      <c r="C32" s="9">
        <v>23.819999694824201</v>
      </c>
    </row>
    <row r="33" spans="1:3" x14ac:dyDescent="0.3">
      <c r="A33" s="1">
        <v>6962181067</v>
      </c>
      <c r="B33" s="8">
        <v>61.700000762939503</v>
      </c>
      <c r="C33" s="9">
        <v>24.100000381469702</v>
      </c>
    </row>
    <row r="34" spans="1:3" x14ac:dyDescent="0.3">
      <c r="A34" s="1">
        <v>6962181067</v>
      </c>
      <c r="B34" s="8">
        <v>61.5</v>
      </c>
      <c r="C34" s="9">
        <v>24</v>
      </c>
    </row>
    <row r="35" spans="1:3" x14ac:dyDescent="0.3">
      <c r="A35" s="1">
        <v>6962181067</v>
      </c>
      <c r="B35" s="8">
        <v>61</v>
      </c>
      <c r="C35" s="9">
        <v>23.819999694824201</v>
      </c>
    </row>
    <row r="36" spans="1:3" x14ac:dyDescent="0.3">
      <c r="A36" s="1">
        <v>6962181067</v>
      </c>
      <c r="B36" s="8">
        <v>61.099998474121101</v>
      </c>
      <c r="C36" s="9">
        <v>23.850000381469702</v>
      </c>
    </row>
    <row r="37" spans="1:3" x14ac:dyDescent="0.3">
      <c r="A37" s="1">
        <v>6962181067</v>
      </c>
      <c r="B37" s="8">
        <v>61.299999237060497</v>
      </c>
      <c r="C37" s="9">
        <v>23.930000305175799</v>
      </c>
    </row>
    <row r="38" spans="1:3" x14ac:dyDescent="0.3">
      <c r="A38" s="1">
        <v>6962181067</v>
      </c>
      <c r="B38" s="8">
        <v>61.5</v>
      </c>
      <c r="C38" s="9">
        <v>24</v>
      </c>
    </row>
    <row r="39" spans="1:3" x14ac:dyDescent="0.3">
      <c r="A39" s="1">
        <v>6962181067</v>
      </c>
      <c r="B39" s="8">
        <v>61.200000762939503</v>
      </c>
      <c r="C39" s="9">
        <v>23.889999389648398</v>
      </c>
    </row>
    <row r="40" spans="1:3" x14ac:dyDescent="0.3">
      <c r="A40" s="1">
        <v>6962181067</v>
      </c>
      <c r="B40" s="8">
        <v>61.200000762939503</v>
      </c>
      <c r="C40" s="9">
        <v>23.889999389648398</v>
      </c>
    </row>
    <row r="41" spans="1:3" x14ac:dyDescent="0.3">
      <c r="A41" s="1">
        <v>6962181067</v>
      </c>
      <c r="B41" s="8">
        <v>62.400001525878899</v>
      </c>
      <c r="C41" s="9">
        <v>24.350000381469702</v>
      </c>
    </row>
    <row r="42" spans="1:3" x14ac:dyDescent="0.3">
      <c r="A42" s="1">
        <v>6962181067</v>
      </c>
      <c r="B42" s="8">
        <v>62.099998474121101</v>
      </c>
      <c r="C42" s="9">
        <v>24.2399997711182</v>
      </c>
    </row>
    <row r="43" spans="1:3" x14ac:dyDescent="0.3">
      <c r="A43" s="1">
        <v>6962181067</v>
      </c>
      <c r="B43" s="8">
        <v>61.900001525878899</v>
      </c>
      <c r="C43" s="9">
        <v>24.170000076293899</v>
      </c>
    </row>
    <row r="44" spans="1:3" x14ac:dyDescent="0.3">
      <c r="A44" s="1">
        <v>6962181067</v>
      </c>
      <c r="B44" s="8">
        <v>61.900001525878899</v>
      </c>
      <c r="C44" s="9">
        <v>24.170000076293899</v>
      </c>
    </row>
    <row r="45" spans="1:3" x14ac:dyDescent="0.3">
      <c r="A45" s="1">
        <v>8877689391</v>
      </c>
      <c r="B45" s="8">
        <v>85.800003051757798</v>
      </c>
      <c r="C45" s="9">
        <v>25.680000305175799</v>
      </c>
    </row>
    <row r="46" spans="1:3" x14ac:dyDescent="0.3">
      <c r="A46" s="1">
        <v>8877689391</v>
      </c>
      <c r="B46" s="8">
        <v>84.900001525878906</v>
      </c>
      <c r="C46" s="9">
        <v>25.409999847412099</v>
      </c>
    </row>
    <row r="47" spans="1:3" x14ac:dyDescent="0.3">
      <c r="A47" s="1">
        <v>8877689391</v>
      </c>
      <c r="B47" s="8">
        <v>84.5</v>
      </c>
      <c r="C47" s="9">
        <v>25.309999465942401</v>
      </c>
    </row>
    <row r="48" spans="1:3" x14ac:dyDescent="0.3">
      <c r="A48" s="1">
        <v>8877689391</v>
      </c>
      <c r="B48" s="8">
        <v>85.5</v>
      </c>
      <c r="C48" s="9">
        <v>25.590000152587901</v>
      </c>
    </row>
    <row r="49" spans="1:3" x14ac:dyDescent="0.3">
      <c r="A49" s="1">
        <v>8877689391</v>
      </c>
      <c r="B49" s="8">
        <v>85.800003051757798</v>
      </c>
      <c r="C49" s="9">
        <v>25.680000305175799</v>
      </c>
    </row>
    <row r="50" spans="1:3" x14ac:dyDescent="0.3">
      <c r="A50" s="1">
        <v>8877689391</v>
      </c>
      <c r="B50" s="8">
        <v>85.300003051757798</v>
      </c>
      <c r="C50" s="9">
        <v>25.530000686645501</v>
      </c>
    </row>
    <row r="51" spans="1:3" x14ac:dyDescent="0.3">
      <c r="A51" s="1">
        <v>8877689391</v>
      </c>
      <c r="B51" s="8">
        <v>84.900001525878906</v>
      </c>
      <c r="C51" s="9">
        <v>25.409999847412099</v>
      </c>
    </row>
    <row r="52" spans="1:3" x14ac:dyDescent="0.3">
      <c r="A52" s="1">
        <v>8877689391</v>
      </c>
      <c r="B52" s="8">
        <v>84.5</v>
      </c>
      <c r="C52" s="9">
        <v>25.290000915527301</v>
      </c>
    </row>
    <row r="53" spans="1:3" x14ac:dyDescent="0.3">
      <c r="A53" s="1">
        <v>8877689391</v>
      </c>
      <c r="B53" s="8">
        <v>85.5</v>
      </c>
      <c r="C53" s="9">
        <v>25.590000152587901</v>
      </c>
    </row>
    <row r="54" spans="1:3" x14ac:dyDescent="0.3">
      <c r="A54" s="1">
        <v>8877689391</v>
      </c>
      <c r="B54" s="8">
        <v>85.5</v>
      </c>
      <c r="C54" s="9">
        <v>25.590000152587901</v>
      </c>
    </row>
    <row r="55" spans="1:3" x14ac:dyDescent="0.3">
      <c r="A55" s="1">
        <v>8877689391</v>
      </c>
      <c r="B55" s="8">
        <v>85.400001525878906</v>
      </c>
      <c r="C55" s="9">
        <v>25.559999465942401</v>
      </c>
    </row>
    <row r="56" spans="1:3" x14ac:dyDescent="0.3">
      <c r="A56" s="1">
        <v>8877689391</v>
      </c>
      <c r="B56" s="8">
        <v>85.099998474121094</v>
      </c>
      <c r="C56" s="9">
        <v>25.4899997711182</v>
      </c>
    </row>
    <row r="57" spans="1:3" x14ac:dyDescent="0.3">
      <c r="A57" s="1">
        <v>8877689391</v>
      </c>
      <c r="B57" s="8">
        <v>85.400001525878906</v>
      </c>
      <c r="C57" s="9">
        <v>25.559999465942401</v>
      </c>
    </row>
    <row r="58" spans="1:3" x14ac:dyDescent="0.3">
      <c r="A58" s="1">
        <v>8877689391</v>
      </c>
      <c r="B58" s="8">
        <v>85.099998474121094</v>
      </c>
      <c r="C58" s="9">
        <v>25.4899997711182</v>
      </c>
    </row>
    <row r="59" spans="1:3" x14ac:dyDescent="0.3">
      <c r="A59" s="1">
        <v>8877689391</v>
      </c>
      <c r="B59" s="8">
        <v>84.900001525878906</v>
      </c>
      <c r="C59" s="9">
        <v>25.409999847412099</v>
      </c>
    </row>
    <row r="60" spans="1:3" x14ac:dyDescent="0.3">
      <c r="A60" s="1">
        <v>8877689391</v>
      </c>
      <c r="B60" s="8">
        <v>85.5</v>
      </c>
      <c r="C60" s="9">
        <v>25.590000152587901</v>
      </c>
    </row>
    <row r="61" spans="1:3" x14ac:dyDescent="0.3">
      <c r="A61" s="1">
        <v>8877689391</v>
      </c>
      <c r="B61" s="8">
        <v>85.300003051757798</v>
      </c>
      <c r="C61" s="9">
        <v>25.530000686645501</v>
      </c>
    </row>
    <row r="62" spans="1:3" x14ac:dyDescent="0.3">
      <c r="A62" s="1">
        <v>8877689391</v>
      </c>
      <c r="B62" s="8">
        <v>84.900001525878906</v>
      </c>
      <c r="C62" s="9">
        <v>25.409999847412099</v>
      </c>
    </row>
    <row r="63" spans="1:3" x14ac:dyDescent="0.3">
      <c r="A63" s="1">
        <v>8877689391</v>
      </c>
      <c r="B63" s="8">
        <v>84.400001525878906</v>
      </c>
      <c r="C63" s="9">
        <v>25.2600002288818</v>
      </c>
    </row>
    <row r="64" spans="1:3" x14ac:dyDescent="0.3">
      <c r="A64" s="1">
        <v>8877689391</v>
      </c>
      <c r="B64" s="8">
        <v>85</v>
      </c>
      <c r="C64" s="9">
        <v>25.440000534057599</v>
      </c>
    </row>
    <row r="65" spans="1:3" x14ac:dyDescent="0.3">
      <c r="A65" s="1">
        <v>8877689391</v>
      </c>
      <c r="B65" s="8">
        <v>85.400001525878906</v>
      </c>
      <c r="C65" s="9">
        <v>25.559999465942401</v>
      </c>
    </row>
    <row r="66" spans="1:3" x14ac:dyDescent="0.3">
      <c r="A66" s="1">
        <v>8877689391</v>
      </c>
      <c r="B66" s="8">
        <v>85.5</v>
      </c>
      <c r="C66" s="9">
        <v>25.610000610351602</v>
      </c>
    </row>
    <row r="67" spans="1:3" x14ac:dyDescent="0.3">
      <c r="A67" s="1">
        <v>8877689391</v>
      </c>
      <c r="B67" s="8">
        <v>85.400001525878906</v>
      </c>
      <c r="C67" s="9">
        <v>25.559999465942401</v>
      </c>
    </row>
    <row r="68" spans="1:3" x14ac:dyDescent="0.3">
      <c r="A68" s="3">
        <v>8877689391</v>
      </c>
      <c r="B68" s="10">
        <v>84</v>
      </c>
      <c r="C68" s="11">
        <v>25.139999389648398</v>
      </c>
    </row>
  </sheetData>
  <mergeCells count="1">
    <mergeCell ref="E2:M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232E7-0C8F-469D-8C21-E0F3AF88A9FC}">
  <dimension ref="A1:M251"/>
  <sheetViews>
    <sheetView workbookViewId="0"/>
  </sheetViews>
  <sheetFormatPr defaultRowHeight="14.4" x14ac:dyDescent="0.3"/>
  <cols>
    <col min="1" max="1" width="11" bestFit="1" customWidth="1"/>
    <col min="2" max="2" width="8" bestFit="1" customWidth="1"/>
  </cols>
  <sheetData>
    <row r="1" spans="1:13" x14ac:dyDescent="0.3">
      <c r="A1" s="5" t="s">
        <v>0</v>
      </c>
      <c r="B1" s="6" t="s">
        <v>1</v>
      </c>
    </row>
    <row r="2" spans="1:13" x14ac:dyDescent="0.3">
      <c r="A2" s="1">
        <v>2022484408</v>
      </c>
      <c r="B2" s="2">
        <v>203</v>
      </c>
      <c r="D2" s="20" t="s">
        <v>7</v>
      </c>
      <c r="E2" s="21"/>
      <c r="F2" s="21"/>
      <c r="G2" s="21"/>
      <c r="H2" s="21"/>
      <c r="I2" s="21"/>
      <c r="J2" s="21"/>
      <c r="K2" s="21"/>
      <c r="L2" s="21"/>
      <c r="M2" s="22"/>
    </row>
    <row r="3" spans="1:13" x14ac:dyDescent="0.3">
      <c r="A3" s="1">
        <v>2022484408</v>
      </c>
      <c r="B3" s="2">
        <v>203</v>
      </c>
      <c r="D3" s="23"/>
      <c r="E3" s="24"/>
      <c r="F3" s="24"/>
      <c r="G3" s="24"/>
      <c r="H3" s="24"/>
      <c r="I3" s="24"/>
      <c r="J3" s="24"/>
      <c r="K3" s="24"/>
      <c r="L3" s="24"/>
      <c r="M3" s="25"/>
    </row>
    <row r="4" spans="1:13" x14ac:dyDescent="0.3">
      <c r="A4" s="1">
        <v>2022484408</v>
      </c>
      <c r="B4" s="2">
        <v>203</v>
      </c>
      <c r="D4" s="23"/>
      <c r="E4" s="24"/>
      <c r="F4" s="24"/>
      <c r="G4" s="24"/>
      <c r="H4" s="24"/>
      <c r="I4" s="24"/>
      <c r="J4" s="24"/>
      <c r="K4" s="24"/>
      <c r="L4" s="24"/>
      <c r="M4" s="25"/>
    </row>
    <row r="5" spans="1:13" x14ac:dyDescent="0.3">
      <c r="A5" s="1">
        <v>2022484408</v>
      </c>
      <c r="B5" s="2">
        <v>203</v>
      </c>
      <c r="D5" s="23"/>
      <c r="E5" s="24"/>
      <c r="F5" s="24"/>
      <c r="G5" s="24"/>
      <c r="H5" s="24"/>
      <c r="I5" s="24"/>
      <c r="J5" s="24"/>
      <c r="K5" s="24"/>
      <c r="L5" s="24"/>
      <c r="M5" s="25"/>
    </row>
    <row r="6" spans="1:13" x14ac:dyDescent="0.3">
      <c r="A6" s="1">
        <v>2022484408</v>
      </c>
      <c r="B6" s="2">
        <v>203</v>
      </c>
      <c r="D6" s="23"/>
      <c r="E6" s="24"/>
      <c r="F6" s="24"/>
      <c r="G6" s="24"/>
      <c r="H6" s="24"/>
      <c r="I6" s="24"/>
      <c r="J6" s="24"/>
      <c r="K6" s="24"/>
      <c r="L6" s="24"/>
      <c r="M6" s="25"/>
    </row>
    <row r="7" spans="1:13" x14ac:dyDescent="0.3">
      <c r="A7" s="1">
        <v>2022484408</v>
      </c>
      <c r="B7" s="2">
        <v>203</v>
      </c>
      <c r="D7" s="23"/>
      <c r="E7" s="24"/>
      <c r="F7" s="24"/>
      <c r="G7" s="24"/>
      <c r="H7" s="24"/>
      <c r="I7" s="24"/>
      <c r="J7" s="24"/>
      <c r="K7" s="24"/>
      <c r="L7" s="24"/>
      <c r="M7" s="25"/>
    </row>
    <row r="8" spans="1:13" x14ac:dyDescent="0.3">
      <c r="A8" s="1">
        <v>2022484408</v>
      </c>
      <c r="B8" s="2">
        <v>203</v>
      </c>
      <c r="D8" s="26"/>
      <c r="E8" s="27"/>
      <c r="F8" s="27"/>
      <c r="G8" s="27"/>
      <c r="H8" s="27"/>
      <c r="I8" s="27"/>
      <c r="J8" s="27"/>
      <c r="K8" s="27"/>
      <c r="L8" s="27"/>
      <c r="M8" s="28"/>
    </row>
    <row r="9" spans="1:13" x14ac:dyDescent="0.3">
      <c r="A9" s="1">
        <v>2022484408</v>
      </c>
      <c r="B9" s="2">
        <v>203</v>
      </c>
    </row>
    <row r="10" spans="1:13" x14ac:dyDescent="0.3">
      <c r="A10" s="1">
        <v>2022484408</v>
      </c>
      <c r="B10" s="2">
        <v>202</v>
      </c>
    </row>
    <row r="11" spans="1:13" x14ac:dyDescent="0.3">
      <c r="A11" s="1">
        <v>2022484408</v>
      </c>
      <c r="B11" s="2">
        <v>202</v>
      </c>
    </row>
    <row r="12" spans="1:13" x14ac:dyDescent="0.3">
      <c r="A12" s="1">
        <v>2022484408</v>
      </c>
      <c r="B12" s="2">
        <v>202</v>
      </c>
    </row>
    <row r="13" spans="1:13" x14ac:dyDescent="0.3">
      <c r="A13" s="1">
        <v>2022484408</v>
      </c>
      <c r="B13" s="2">
        <v>202</v>
      </c>
    </row>
    <row r="14" spans="1:13" x14ac:dyDescent="0.3">
      <c r="A14" s="1">
        <v>2022484408</v>
      </c>
      <c r="B14" s="2">
        <v>201</v>
      </c>
    </row>
    <row r="15" spans="1:13" x14ac:dyDescent="0.3">
      <c r="A15" s="1">
        <v>2022484408</v>
      </c>
      <c r="B15" s="2">
        <v>200</v>
      </c>
    </row>
    <row r="16" spans="1:13" x14ac:dyDescent="0.3">
      <c r="A16" s="1">
        <v>2022484408</v>
      </c>
      <c r="B16" s="2">
        <v>200</v>
      </c>
    </row>
    <row r="17" spans="1:2" x14ac:dyDescent="0.3">
      <c r="A17" s="1">
        <v>2022484408</v>
      </c>
      <c r="B17" s="2">
        <v>200</v>
      </c>
    </row>
    <row r="18" spans="1:2" x14ac:dyDescent="0.3">
      <c r="A18" s="1">
        <v>2022484408</v>
      </c>
      <c r="B18" s="2">
        <v>200</v>
      </c>
    </row>
    <row r="19" spans="1:2" x14ac:dyDescent="0.3">
      <c r="A19" s="1">
        <v>4558609924</v>
      </c>
      <c r="B19" s="2">
        <v>199</v>
      </c>
    </row>
    <row r="20" spans="1:2" x14ac:dyDescent="0.3">
      <c r="A20" s="1">
        <v>4558609924</v>
      </c>
      <c r="B20" s="2">
        <v>199</v>
      </c>
    </row>
    <row r="21" spans="1:2" x14ac:dyDescent="0.3">
      <c r="A21" s="1">
        <v>2022484408</v>
      </c>
      <c r="B21" s="2">
        <v>199</v>
      </c>
    </row>
    <row r="22" spans="1:2" x14ac:dyDescent="0.3">
      <c r="A22" s="1">
        <v>2022484408</v>
      </c>
      <c r="B22" s="2">
        <v>199</v>
      </c>
    </row>
    <row r="23" spans="1:2" x14ac:dyDescent="0.3">
      <c r="A23" s="1">
        <v>2022484408</v>
      </c>
      <c r="B23" s="2">
        <v>199</v>
      </c>
    </row>
    <row r="24" spans="1:2" x14ac:dyDescent="0.3">
      <c r="A24" s="1">
        <v>4558609924</v>
      </c>
      <c r="B24" s="2">
        <v>199</v>
      </c>
    </row>
    <row r="25" spans="1:2" x14ac:dyDescent="0.3">
      <c r="A25" s="1">
        <v>2022484408</v>
      </c>
      <c r="B25" s="2">
        <v>199</v>
      </c>
    </row>
    <row r="26" spans="1:2" x14ac:dyDescent="0.3">
      <c r="A26" s="1">
        <v>4558609924</v>
      </c>
      <c r="B26" s="2">
        <v>199</v>
      </c>
    </row>
    <row r="27" spans="1:2" x14ac:dyDescent="0.3">
      <c r="A27" s="1">
        <v>2022484408</v>
      </c>
      <c r="B27" s="2">
        <v>198</v>
      </c>
    </row>
    <row r="28" spans="1:2" x14ac:dyDescent="0.3">
      <c r="A28" s="1">
        <v>4558609924</v>
      </c>
      <c r="B28" s="2">
        <v>198</v>
      </c>
    </row>
    <row r="29" spans="1:2" x14ac:dyDescent="0.3">
      <c r="A29" s="1">
        <v>4558609924</v>
      </c>
      <c r="B29" s="2">
        <v>198</v>
      </c>
    </row>
    <row r="30" spans="1:2" x14ac:dyDescent="0.3">
      <c r="A30" s="1">
        <v>4558609924</v>
      </c>
      <c r="B30" s="2">
        <v>198</v>
      </c>
    </row>
    <row r="31" spans="1:2" x14ac:dyDescent="0.3">
      <c r="A31" s="1">
        <v>4558609924</v>
      </c>
      <c r="B31" s="2">
        <v>198</v>
      </c>
    </row>
    <row r="32" spans="1:2" x14ac:dyDescent="0.3">
      <c r="A32" s="1">
        <v>4558609924</v>
      </c>
      <c r="B32" s="2">
        <v>198</v>
      </c>
    </row>
    <row r="33" spans="1:2" x14ac:dyDescent="0.3">
      <c r="A33" s="1">
        <v>4558609924</v>
      </c>
      <c r="B33" s="2">
        <v>198</v>
      </c>
    </row>
    <row r="34" spans="1:2" x14ac:dyDescent="0.3">
      <c r="A34" s="1">
        <v>4558609924</v>
      </c>
      <c r="B34" s="2">
        <v>197</v>
      </c>
    </row>
    <row r="35" spans="1:2" x14ac:dyDescent="0.3">
      <c r="A35" s="1">
        <v>4558609924</v>
      </c>
      <c r="B35" s="2">
        <v>197</v>
      </c>
    </row>
    <row r="36" spans="1:2" x14ac:dyDescent="0.3">
      <c r="A36" s="1">
        <v>4558609924</v>
      </c>
      <c r="B36" s="2">
        <v>197</v>
      </c>
    </row>
    <row r="37" spans="1:2" x14ac:dyDescent="0.3">
      <c r="A37" s="1">
        <v>2022484408</v>
      </c>
      <c r="B37" s="2">
        <v>197</v>
      </c>
    </row>
    <row r="38" spans="1:2" x14ac:dyDescent="0.3">
      <c r="A38" s="1">
        <v>2022484408</v>
      </c>
      <c r="B38" s="2">
        <v>197</v>
      </c>
    </row>
    <row r="39" spans="1:2" x14ac:dyDescent="0.3">
      <c r="A39" s="1">
        <v>2022484408</v>
      </c>
      <c r="B39" s="2">
        <v>197</v>
      </c>
    </row>
    <row r="40" spans="1:2" x14ac:dyDescent="0.3">
      <c r="A40" s="1">
        <v>4558609924</v>
      </c>
      <c r="B40" s="2">
        <v>197</v>
      </c>
    </row>
    <row r="41" spans="1:2" x14ac:dyDescent="0.3">
      <c r="A41" s="1">
        <v>2022484408</v>
      </c>
      <c r="B41" s="2">
        <v>197</v>
      </c>
    </row>
    <row r="42" spans="1:2" x14ac:dyDescent="0.3">
      <c r="A42" s="1">
        <v>2022484408</v>
      </c>
      <c r="B42" s="2">
        <v>197</v>
      </c>
    </row>
    <row r="43" spans="1:2" x14ac:dyDescent="0.3">
      <c r="A43" s="1">
        <v>4558609924</v>
      </c>
      <c r="B43" s="2">
        <v>196</v>
      </c>
    </row>
    <row r="44" spans="1:2" x14ac:dyDescent="0.3">
      <c r="A44" s="1">
        <v>4558609924</v>
      </c>
      <c r="B44" s="2">
        <v>196</v>
      </c>
    </row>
    <row r="45" spans="1:2" x14ac:dyDescent="0.3">
      <c r="A45" s="1">
        <v>4558609924</v>
      </c>
      <c r="B45" s="2">
        <v>196</v>
      </c>
    </row>
    <row r="46" spans="1:2" x14ac:dyDescent="0.3">
      <c r="A46" s="1">
        <v>4558609924</v>
      </c>
      <c r="B46" s="2">
        <v>196</v>
      </c>
    </row>
    <row r="47" spans="1:2" x14ac:dyDescent="0.3">
      <c r="A47" s="1">
        <v>4558609924</v>
      </c>
      <c r="B47" s="2">
        <v>195</v>
      </c>
    </row>
    <row r="48" spans="1:2" x14ac:dyDescent="0.3">
      <c r="A48" s="1">
        <v>2022484408</v>
      </c>
      <c r="B48" s="2">
        <v>195</v>
      </c>
    </row>
    <row r="49" spans="1:2" x14ac:dyDescent="0.3">
      <c r="A49" s="1">
        <v>2022484408</v>
      </c>
      <c r="B49" s="2">
        <v>195</v>
      </c>
    </row>
    <row r="50" spans="1:2" x14ac:dyDescent="0.3">
      <c r="A50" s="1">
        <v>2022484408</v>
      </c>
      <c r="B50" s="2">
        <v>195</v>
      </c>
    </row>
    <row r="51" spans="1:2" x14ac:dyDescent="0.3">
      <c r="A51" s="1">
        <v>4558609924</v>
      </c>
      <c r="B51" s="2">
        <v>195</v>
      </c>
    </row>
    <row r="52" spans="1:2" x14ac:dyDescent="0.3">
      <c r="A52" s="1">
        <v>4558609924</v>
      </c>
      <c r="B52" s="2">
        <v>195</v>
      </c>
    </row>
    <row r="53" spans="1:2" x14ac:dyDescent="0.3">
      <c r="A53" s="1">
        <v>4558609924</v>
      </c>
      <c r="B53" s="2">
        <v>195</v>
      </c>
    </row>
    <row r="54" spans="1:2" x14ac:dyDescent="0.3">
      <c r="A54" s="1">
        <v>2347167796</v>
      </c>
      <c r="B54" s="2">
        <v>195</v>
      </c>
    </row>
    <row r="55" spans="1:2" x14ac:dyDescent="0.3">
      <c r="A55" s="1">
        <v>4558609924</v>
      </c>
      <c r="B55" s="2">
        <v>195</v>
      </c>
    </row>
    <row r="56" spans="1:2" x14ac:dyDescent="0.3">
      <c r="A56" s="1">
        <v>2022484408</v>
      </c>
      <c r="B56" s="2">
        <v>194</v>
      </c>
    </row>
    <row r="57" spans="1:2" x14ac:dyDescent="0.3">
      <c r="A57" s="1">
        <v>2022484408</v>
      </c>
      <c r="B57" s="2">
        <v>194</v>
      </c>
    </row>
    <row r="58" spans="1:2" x14ac:dyDescent="0.3">
      <c r="A58" s="1">
        <v>4558609924</v>
      </c>
      <c r="B58" s="2">
        <v>194</v>
      </c>
    </row>
    <row r="59" spans="1:2" x14ac:dyDescent="0.3">
      <c r="A59" s="1">
        <v>2347167796</v>
      </c>
      <c r="B59" s="2">
        <v>194</v>
      </c>
    </row>
    <row r="60" spans="1:2" x14ac:dyDescent="0.3">
      <c r="A60" s="1">
        <v>4558609924</v>
      </c>
      <c r="B60" s="2">
        <v>194</v>
      </c>
    </row>
    <row r="61" spans="1:2" x14ac:dyDescent="0.3">
      <c r="A61" s="1">
        <v>4558609924</v>
      </c>
      <c r="B61" s="2">
        <v>194</v>
      </c>
    </row>
    <row r="62" spans="1:2" x14ac:dyDescent="0.3">
      <c r="A62" s="1">
        <v>2022484408</v>
      </c>
      <c r="B62" s="2">
        <v>193</v>
      </c>
    </row>
    <row r="63" spans="1:2" x14ac:dyDescent="0.3">
      <c r="A63" s="1">
        <v>4558609924</v>
      </c>
      <c r="B63" s="2">
        <v>193</v>
      </c>
    </row>
    <row r="64" spans="1:2" x14ac:dyDescent="0.3">
      <c r="A64" s="1">
        <v>4558609924</v>
      </c>
      <c r="B64" s="2">
        <v>193</v>
      </c>
    </row>
    <row r="65" spans="1:2" x14ac:dyDescent="0.3">
      <c r="A65" s="1">
        <v>4558609924</v>
      </c>
      <c r="B65" s="2">
        <v>193</v>
      </c>
    </row>
    <row r="66" spans="1:2" x14ac:dyDescent="0.3">
      <c r="A66" s="1">
        <v>4558609924</v>
      </c>
      <c r="B66" s="2">
        <v>192</v>
      </c>
    </row>
    <row r="67" spans="1:2" x14ac:dyDescent="0.3">
      <c r="A67" s="1">
        <v>4558609924</v>
      </c>
      <c r="B67" s="2">
        <v>192</v>
      </c>
    </row>
    <row r="68" spans="1:2" x14ac:dyDescent="0.3">
      <c r="A68" s="1">
        <v>2022484408</v>
      </c>
      <c r="B68" s="2">
        <v>192</v>
      </c>
    </row>
    <row r="69" spans="1:2" x14ac:dyDescent="0.3">
      <c r="A69" s="1">
        <v>2022484408</v>
      </c>
      <c r="B69" s="2">
        <v>192</v>
      </c>
    </row>
    <row r="70" spans="1:2" x14ac:dyDescent="0.3">
      <c r="A70" s="1">
        <v>4558609924</v>
      </c>
      <c r="B70" s="2">
        <v>192</v>
      </c>
    </row>
    <row r="71" spans="1:2" x14ac:dyDescent="0.3">
      <c r="A71" s="1">
        <v>4558609924</v>
      </c>
      <c r="B71" s="2">
        <v>191</v>
      </c>
    </row>
    <row r="72" spans="1:2" x14ac:dyDescent="0.3">
      <c r="A72" s="1">
        <v>4020332650</v>
      </c>
      <c r="B72" s="2">
        <v>191</v>
      </c>
    </row>
    <row r="73" spans="1:2" x14ac:dyDescent="0.3">
      <c r="A73" s="1">
        <v>4020332650</v>
      </c>
      <c r="B73" s="2">
        <v>191</v>
      </c>
    </row>
    <row r="74" spans="1:2" x14ac:dyDescent="0.3">
      <c r="A74" s="1">
        <v>4020332650</v>
      </c>
      <c r="B74" s="2">
        <v>191</v>
      </c>
    </row>
    <row r="75" spans="1:2" x14ac:dyDescent="0.3">
      <c r="A75" s="1">
        <v>4020332650</v>
      </c>
      <c r="B75" s="2">
        <v>191</v>
      </c>
    </row>
    <row r="76" spans="1:2" x14ac:dyDescent="0.3">
      <c r="A76" s="1">
        <v>4020332650</v>
      </c>
      <c r="B76" s="2">
        <v>191</v>
      </c>
    </row>
    <row r="77" spans="1:2" x14ac:dyDescent="0.3">
      <c r="A77" s="1">
        <v>4020332650</v>
      </c>
      <c r="B77" s="2">
        <v>191</v>
      </c>
    </row>
    <row r="78" spans="1:2" x14ac:dyDescent="0.3">
      <c r="A78" s="1">
        <v>4020332650</v>
      </c>
      <c r="B78" s="2">
        <v>191</v>
      </c>
    </row>
    <row r="79" spans="1:2" x14ac:dyDescent="0.3">
      <c r="A79" s="1">
        <v>4020332650</v>
      </c>
      <c r="B79" s="2">
        <v>191</v>
      </c>
    </row>
    <row r="80" spans="1:2" x14ac:dyDescent="0.3">
      <c r="A80" s="1">
        <v>4558609924</v>
      </c>
      <c r="B80" s="2">
        <v>191</v>
      </c>
    </row>
    <row r="81" spans="1:2" x14ac:dyDescent="0.3">
      <c r="A81" s="1">
        <v>4020332650</v>
      </c>
      <c r="B81" s="2">
        <v>191</v>
      </c>
    </row>
    <row r="82" spans="1:2" x14ac:dyDescent="0.3">
      <c r="A82" s="1">
        <v>4020332650</v>
      </c>
      <c r="B82" s="2">
        <v>191</v>
      </c>
    </row>
    <row r="83" spans="1:2" x14ac:dyDescent="0.3">
      <c r="A83" s="1">
        <v>4558609924</v>
      </c>
      <c r="B83" s="2">
        <v>191</v>
      </c>
    </row>
    <row r="84" spans="1:2" x14ac:dyDescent="0.3">
      <c r="A84" s="1">
        <v>4020332650</v>
      </c>
      <c r="B84" s="2">
        <v>191</v>
      </c>
    </row>
    <row r="85" spans="1:2" x14ac:dyDescent="0.3">
      <c r="A85" s="1">
        <v>4020332650</v>
      </c>
      <c r="B85" s="2">
        <v>191</v>
      </c>
    </row>
    <row r="86" spans="1:2" x14ac:dyDescent="0.3">
      <c r="A86" s="1">
        <v>4020332650</v>
      </c>
      <c r="B86" s="2">
        <v>191</v>
      </c>
    </row>
    <row r="87" spans="1:2" x14ac:dyDescent="0.3">
      <c r="A87" s="1">
        <v>4020332650</v>
      </c>
      <c r="B87" s="2">
        <v>191</v>
      </c>
    </row>
    <row r="88" spans="1:2" x14ac:dyDescent="0.3">
      <c r="A88" s="1">
        <v>4020332650</v>
      </c>
      <c r="B88" s="2">
        <v>191</v>
      </c>
    </row>
    <row r="89" spans="1:2" x14ac:dyDescent="0.3">
      <c r="A89" s="1">
        <v>4020332650</v>
      </c>
      <c r="B89" s="2">
        <v>191</v>
      </c>
    </row>
    <row r="90" spans="1:2" x14ac:dyDescent="0.3">
      <c r="A90" s="1">
        <v>4020332650</v>
      </c>
      <c r="B90" s="2">
        <v>191</v>
      </c>
    </row>
    <row r="91" spans="1:2" x14ac:dyDescent="0.3">
      <c r="A91" s="1">
        <v>4020332650</v>
      </c>
      <c r="B91" s="2">
        <v>191</v>
      </c>
    </row>
    <row r="92" spans="1:2" x14ac:dyDescent="0.3">
      <c r="A92" s="1">
        <v>4020332650</v>
      </c>
      <c r="B92" s="2">
        <v>191</v>
      </c>
    </row>
    <row r="93" spans="1:2" x14ac:dyDescent="0.3">
      <c r="A93" s="1">
        <v>4020332650</v>
      </c>
      <c r="B93" s="2">
        <v>191</v>
      </c>
    </row>
    <row r="94" spans="1:2" x14ac:dyDescent="0.3">
      <c r="A94" s="1">
        <v>4020332650</v>
      </c>
      <c r="B94" s="2">
        <v>191</v>
      </c>
    </row>
    <row r="95" spans="1:2" x14ac:dyDescent="0.3">
      <c r="A95" s="1">
        <v>4020332650</v>
      </c>
      <c r="B95" s="2">
        <v>191</v>
      </c>
    </row>
    <row r="96" spans="1:2" x14ac:dyDescent="0.3">
      <c r="A96" s="1">
        <v>4020332650</v>
      </c>
      <c r="B96" s="2">
        <v>191</v>
      </c>
    </row>
    <row r="97" spans="1:2" x14ac:dyDescent="0.3">
      <c r="A97" s="1">
        <v>4558609924</v>
      </c>
      <c r="B97" s="2">
        <v>191</v>
      </c>
    </row>
    <row r="98" spans="1:2" x14ac:dyDescent="0.3">
      <c r="A98" s="1">
        <v>4020332650</v>
      </c>
      <c r="B98" s="2">
        <v>191</v>
      </c>
    </row>
    <row r="99" spans="1:2" x14ac:dyDescent="0.3">
      <c r="A99" s="1">
        <v>4020332650</v>
      </c>
      <c r="B99" s="2">
        <v>191</v>
      </c>
    </row>
    <row r="100" spans="1:2" x14ac:dyDescent="0.3">
      <c r="A100" s="1">
        <v>4020332650</v>
      </c>
      <c r="B100" s="2">
        <v>191</v>
      </c>
    </row>
    <row r="101" spans="1:2" x14ac:dyDescent="0.3">
      <c r="A101" s="1">
        <v>4020332650</v>
      </c>
      <c r="B101" s="2">
        <v>191</v>
      </c>
    </row>
    <row r="102" spans="1:2" x14ac:dyDescent="0.3">
      <c r="A102" s="1">
        <v>4020332650</v>
      </c>
      <c r="B102" s="2">
        <v>191</v>
      </c>
    </row>
    <row r="103" spans="1:2" x14ac:dyDescent="0.3">
      <c r="A103" s="1">
        <v>4020332650</v>
      </c>
      <c r="B103" s="2">
        <v>191</v>
      </c>
    </row>
    <row r="104" spans="1:2" x14ac:dyDescent="0.3">
      <c r="A104" s="1">
        <v>4020332650</v>
      </c>
      <c r="B104" s="2">
        <v>191</v>
      </c>
    </row>
    <row r="105" spans="1:2" x14ac:dyDescent="0.3">
      <c r="A105" s="1">
        <v>4020332650</v>
      </c>
      <c r="B105" s="2">
        <v>191</v>
      </c>
    </row>
    <row r="106" spans="1:2" x14ac:dyDescent="0.3">
      <c r="A106" s="1">
        <v>4020332650</v>
      </c>
      <c r="B106" s="2">
        <v>191</v>
      </c>
    </row>
    <row r="107" spans="1:2" x14ac:dyDescent="0.3">
      <c r="A107" s="1">
        <v>4020332650</v>
      </c>
      <c r="B107" s="2">
        <v>191</v>
      </c>
    </row>
    <row r="108" spans="1:2" x14ac:dyDescent="0.3">
      <c r="A108" s="1">
        <v>4020332650</v>
      </c>
      <c r="B108" s="2">
        <v>191</v>
      </c>
    </row>
    <row r="109" spans="1:2" x14ac:dyDescent="0.3">
      <c r="A109" s="1">
        <v>4020332650</v>
      </c>
      <c r="B109" s="2">
        <v>191</v>
      </c>
    </row>
    <row r="110" spans="1:2" x14ac:dyDescent="0.3">
      <c r="A110" s="1">
        <v>4020332650</v>
      </c>
      <c r="B110" s="2">
        <v>191</v>
      </c>
    </row>
    <row r="111" spans="1:2" x14ac:dyDescent="0.3">
      <c r="A111" s="1">
        <v>4020332650</v>
      </c>
      <c r="B111" s="2">
        <v>191</v>
      </c>
    </row>
    <row r="112" spans="1:2" x14ac:dyDescent="0.3">
      <c r="A112" s="1">
        <v>4020332650</v>
      </c>
      <c r="B112" s="2">
        <v>191</v>
      </c>
    </row>
    <row r="113" spans="1:2" x14ac:dyDescent="0.3">
      <c r="A113" s="1">
        <v>4020332650</v>
      </c>
      <c r="B113" s="2">
        <v>191</v>
      </c>
    </row>
    <row r="114" spans="1:2" x14ac:dyDescent="0.3">
      <c r="A114" s="1">
        <v>4020332650</v>
      </c>
      <c r="B114" s="2">
        <v>191</v>
      </c>
    </row>
    <row r="115" spans="1:2" x14ac:dyDescent="0.3">
      <c r="A115" s="1">
        <v>4020332650</v>
      </c>
      <c r="B115" s="2">
        <v>191</v>
      </c>
    </row>
    <row r="116" spans="1:2" x14ac:dyDescent="0.3">
      <c r="A116" s="1">
        <v>4020332650</v>
      </c>
      <c r="B116" s="2">
        <v>191</v>
      </c>
    </row>
    <row r="117" spans="1:2" x14ac:dyDescent="0.3">
      <c r="A117" s="1">
        <v>4020332650</v>
      </c>
      <c r="B117" s="2">
        <v>191</v>
      </c>
    </row>
    <row r="118" spans="1:2" x14ac:dyDescent="0.3">
      <c r="A118" s="1">
        <v>4020332650</v>
      </c>
      <c r="B118" s="2">
        <v>191</v>
      </c>
    </row>
    <row r="119" spans="1:2" x14ac:dyDescent="0.3">
      <c r="A119" s="1">
        <v>4020332650</v>
      </c>
      <c r="B119" s="2">
        <v>191</v>
      </c>
    </row>
    <row r="120" spans="1:2" x14ac:dyDescent="0.3">
      <c r="A120" s="1">
        <v>4020332650</v>
      </c>
      <c r="B120" s="2">
        <v>191</v>
      </c>
    </row>
    <row r="121" spans="1:2" x14ac:dyDescent="0.3">
      <c r="A121" s="1">
        <v>4020332650</v>
      </c>
      <c r="B121" s="2">
        <v>191</v>
      </c>
    </row>
    <row r="122" spans="1:2" x14ac:dyDescent="0.3">
      <c r="A122" s="1">
        <v>4020332650</v>
      </c>
      <c r="B122" s="2">
        <v>191</v>
      </c>
    </row>
    <row r="123" spans="1:2" x14ac:dyDescent="0.3">
      <c r="A123" s="1">
        <v>4020332650</v>
      </c>
      <c r="B123" s="2">
        <v>191</v>
      </c>
    </row>
    <row r="124" spans="1:2" x14ac:dyDescent="0.3">
      <c r="A124" s="1">
        <v>4020332650</v>
      </c>
      <c r="B124" s="2">
        <v>191</v>
      </c>
    </row>
    <row r="125" spans="1:2" x14ac:dyDescent="0.3">
      <c r="A125" s="1">
        <v>4020332650</v>
      </c>
      <c r="B125" s="2">
        <v>191</v>
      </c>
    </row>
    <row r="126" spans="1:2" x14ac:dyDescent="0.3">
      <c r="A126" s="1">
        <v>4020332650</v>
      </c>
      <c r="B126" s="2">
        <v>191</v>
      </c>
    </row>
    <row r="127" spans="1:2" x14ac:dyDescent="0.3">
      <c r="A127" s="1">
        <v>4020332650</v>
      </c>
      <c r="B127" s="2">
        <v>191</v>
      </c>
    </row>
    <row r="128" spans="1:2" x14ac:dyDescent="0.3">
      <c r="A128" s="1">
        <v>4020332650</v>
      </c>
      <c r="B128" s="2">
        <v>191</v>
      </c>
    </row>
    <row r="129" spans="1:2" x14ac:dyDescent="0.3">
      <c r="A129" s="1">
        <v>4020332650</v>
      </c>
      <c r="B129" s="2">
        <v>191</v>
      </c>
    </row>
    <row r="130" spans="1:2" x14ac:dyDescent="0.3">
      <c r="A130" s="1">
        <v>4020332650</v>
      </c>
      <c r="B130" s="2">
        <v>191</v>
      </c>
    </row>
    <row r="131" spans="1:2" x14ac:dyDescent="0.3">
      <c r="A131" s="1">
        <v>4020332650</v>
      </c>
      <c r="B131" s="2">
        <v>191</v>
      </c>
    </row>
    <row r="132" spans="1:2" x14ac:dyDescent="0.3">
      <c r="A132" s="1">
        <v>4020332650</v>
      </c>
      <c r="B132" s="2">
        <v>191</v>
      </c>
    </row>
    <row r="133" spans="1:2" x14ac:dyDescent="0.3">
      <c r="A133" s="1">
        <v>4020332650</v>
      </c>
      <c r="B133" s="2">
        <v>191</v>
      </c>
    </row>
    <row r="134" spans="1:2" x14ac:dyDescent="0.3">
      <c r="A134" s="1">
        <v>4020332650</v>
      </c>
      <c r="B134" s="2">
        <v>191</v>
      </c>
    </row>
    <row r="135" spans="1:2" x14ac:dyDescent="0.3">
      <c r="A135" s="1">
        <v>4020332650</v>
      </c>
      <c r="B135" s="2">
        <v>191</v>
      </c>
    </row>
    <row r="136" spans="1:2" x14ac:dyDescent="0.3">
      <c r="A136" s="1">
        <v>4020332650</v>
      </c>
      <c r="B136" s="2">
        <v>191</v>
      </c>
    </row>
    <row r="137" spans="1:2" x14ac:dyDescent="0.3">
      <c r="A137" s="1">
        <v>4020332650</v>
      </c>
      <c r="B137" s="2">
        <v>191</v>
      </c>
    </row>
    <row r="138" spans="1:2" x14ac:dyDescent="0.3">
      <c r="A138" s="1">
        <v>2347167796</v>
      </c>
      <c r="B138" s="2">
        <v>191</v>
      </c>
    </row>
    <row r="139" spans="1:2" x14ac:dyDescent="0.3">
      <c r="A139" s="1">
        <v>4020332650</v>
      </c>
      <c r="B139" s="2">
        <v>191</v>
      </c>
    </row>
    <row r="140" spans="1:2" x14ac:dyDescent="0.3">
      <c r="A140" s="1">
        <v>4020332650</v>
      </c>
      <c r="B140" s="2">
        <v>191</v>
      </c>
    </row>
    <row r="141" spans="1:2" x14ac:dyDescent="0.3">
      <c r="A141" s="1">
        <v>4020332650</v>
      </c>
      <c r="B141" s="2">
        <v>190</v>
      </c>
    </row>
    <row r="142" spans="1:2" x14ac:dyDescent="0.3">
      <c r="A142" s="1">
        <v>4020332650</v>
      </c>
      <c r="B142" s="2">
        <v>190</v>
      </c>
    </row>
    <row r="143" spans="1:2" x14ac:dyDescent="0.3">
      <c r="A143" s="1">
        <v>4020332650</v>
      </c>
      <c r="B143" s="2">
        <v>190</v>
      </c>
    </row>
    <row r="144" spans="1:2" x14ac:dyDescent="0.3">
      <c r="A144" s="1">
        <v>4020332650</v>
      </c>
      <c r="B144" s="2">
        <v>190</v>
      </c>
    </row>
    <row r="145" spans="1:2" x14ac:dyDescent="0.3">
      <c r="A145" s="1">
        <v>4558609924</v>
      </c>
      <c r="B145" s="2">
        <v>190</v>
      </c>
    </row>
    <row r="146" spans="1:2" x14ac:dyDescent="0.3">
      <c r="A146" s="1">
        <v>4558609924</v>
      </c>
      <c r="B146" s="2">
        <v>190</v>
      </c>
    </row>
    <row r="147" spans="1:2" x14ac:dyDescent="0.3">
      <c r="A147" s="1">
        <v>4558609924</v>
      </c>
      <c r="B147" s="2">
        <v>189</v>
      </c>
    </row>
    <row r="148" spans="1:2" x14ac:dyDescent="0.3">
      <c r="A148" s="1">
        <v>2022484408</v>
      </c>
      <c r="B148" s="2">
        <v>189</v>
      </c>
    </row>
    <row r="149" spans="1:2" x14ac:dyDescent="0.3">
      <c r="A149" s="1">
        <v>4558609924</v>
      </c>
      <c r="B149" s="2">
        <v>189</v>
      </c>
    </row>
    <row r="150" spans="1:2" x14ac:dyDescent="0.3">
      <c r="A150" s="1">
        <v>4020332650</v>
      </c>
      <c r="B150" s="2">
        <v>189</v>
      </c>
    </row>
    <row r="151" spans="1:2" x14ac:dyDescent="0.3">
      <c r="A151" s="1">
        <v>2022484408</v>
      </c>
      <c r="B151" s="2">
        <v>189</v>
      </c>
    </row>
    <row r="152" spans="1:2" x14ac:dyDescent="0.3">
      <c r="A152" s="1">
        <v>6117666160</v>
      </c>
      <c r="B152" s="2">
        <v>189</v>
      </c>
    </row>
    <row r="153" spans="1:2" x14ac:dyDescent="0.3">
      <c r="A153" s="1">
        <v>4020332650</v>
      </c>
      <c r="B153" s="2">
        <v>189</v>
      </c>
    </row>
    <row r="154" spans="1:2" x14ac:dyDescent="0.3">
      <c r="A154" s="1">
        <v>4558609924</v>
      </c>
      <c r="B154" s="2">
        <v>189</v>
      </c>
    </row>
    <row r="155" spans="1:2" x14ac:dyDescent="0.3">
      <c r="A155" s="1">
        <v>2022484408</v>
      </c>
      <c r="B155" s="2">
        <v>189</v>
      </c>
    </row>
    <row r="156" spans="1:2" x14ac:dyDescent="0.3">
      <c r="A156" s="1">
        <v>6117666160</v>
      </c>
      <c r="B156" s="2">
        <v>189</v>
      </c>
    </row>
    <row r="157" spans="1:2" x14ac:dyDescent="0.3">
      <c r="A157" s="1">
        <v>2022484408</v>
      </c>
      <c r="B157" s="2">
        <v>189</v>
      </c>
    </row>
    <row r="158" spans="1:2" x14ac:dyDescent="0.3">
      <c r="A158" s="1">
        <v>4558609924</v>
      </c>
      <c r="B158" s="2">
        <v>189</v>
      </c>
    </row>
    <row r="159" spans="1:2" x14ac:dyDescent="0.3">
      <c r="A159" s="1">
        <v>2022484408</v>
      </c>
      <c r="B159" s="2">
        <v>189</v>
      </c>
    </row>
    <row r="160" spans="1:2" x14ac:dyDescent="0.3">
      <c r="A160" s="1">
        <v>2347167796</v>
      </c>
      <c r="B160" s="2">
        <v>189</v>
      </c>
    </row>
    <row r="161" spans="1:2" x14ac:dyDescent="0.3">
      <c r="A161" s="1">
        <v>4558609924</v>
      </c>
      <c r="B161" s="2">
        <v>189</v>
      </c>
    </row>
    <row r="162" spans="1:2" x14ac:dyDescent="0.3">
      <c r="A162" s="1">
        <v>2022484408</v>
      </c>
      <c r="B162" s="2">
        <v>188</v>
      </c>
    </row>
    <row r="163" spans="1:2" x14ac:dyDescent="0.3">
      <c r="A163" s="1">
        <v>4558609924</v>
      </c>
      <c r="B163" s="2">
        <v>188</v>
      </c>
    </row>
    <row r="164" spans="1:2" x14ac:dyDescent="0.3">
      <c r="A164" s="1">
        <v>4558609924</v>
      </c>
      <c r="B164" s="2">
        <v>188</v>
      </c>
    </row>
    <row r="165" spans="1:2" x14ac:dyDescent="0.3">
      <c r="A165" s="1">
        <v>4020332650</v>
      </c>
      <c r="B165" s="2">
        <v>188</v>
      </c>
    </row>
    <row r="166" spans="1:2" x14ac:dyDescent="0.3">
      <c r="A166" s="1">
        <v>6117666160</v>
      </c>
      <c r="B166" s="2">
        <v>188</v>
      </c>
    </row>
    <row r="167" spans="1:2" x14ac:dyDescent="0.3">
      <c r="A167" s="1">
        <v>2022484408</v>
      </c>
      <c r="B167" s="2">
        <v>188</v>
      </c>
    </row>
    <row r="168" spans="1:2" x14ac:dyDescent="0.3">
      <c r="A168" s="1">
        <v>4558609924</v>
      </c>
      <c r="B168" s="2">
        <v>188</v>
      </c>
    </row>
    <row r="169" spans="1:2" x14ac:dyDescent="0.3">
      <c r="A169" s="1">
        <v>4558609924</v>
      </c>
      <c r="B169" s="2">
        <v>188</v>
      </c>
    </row>
    <row r="170" spans="1:2" x14ac:dyDescent="0.3">
      <c r="A170" s="1">
        <v>2347167796</v>
      </c>
      <c r="B170" s="2">
        <v>188</v>
      </c>
    </row>
    <row r="171" spans="1:2" x14ac:dyDescent="0.3">
      <c r="A171" s="1">
        <v>2022484408</v>
      </c>
      <c r="B171" s="2">
        <v>188</v>
      </c>
    </row>
    <row r="172" spans="1:2" x14ac:dyDescent="0.3">
      <c r="A172" s="1">
        <v>4558609924</v>
      </c>
      <c r="B172" s="2">
        <v>187</v>
      </c>
    </row>
    <row r="173" spans="1:2" x14ac:dyDescent="0.3">
      <c r="A173" s="1">
        <v>4558609924</v>
      </c>
      <c r="B173" s="2">
        <v>187</v>
      </c>
    </row>
    <row r="174" spans="1:2" x14ac:dyDescent="0.3">
      <c r="A174" s="1">
        <v>4558609924</v>
      </c>
      <c r="B174" s="2">
        <v>187</v>
      </c>
    </row>
    <row r="175" spans="1:2" x14ac:dyDescent="0.3">
      <c r="A175" s="1">
        <v>4558609924</v>
      </c>
      <c r="B175" s="2">
        <v>187</v>
      </c>
    </row>
    <row r="176" spans="1:2" x14ac:dyDescent="0.3">
      <c r="A176" s="1">
        <v>6117666160</v>
      </c>
      <c r="B176" s="2">
        <v>187</v>
      </c>
    </row>
    <row r="177" spans="1:2" x14ac:dyDescent="0.3">
      <c r="A177" s="1">
        <v>4020332650</v>
      </c>
      <c r="B177" s="2">
        <v>187</v>
      </c>
    </row>
    <row r="178" spans="1:2" x14ac:dyDescent="0.3">
      <c r="A178" s="1">
        <v>4558609924</v>
      </c>
      <c r="B178" s="2">
        <v>187</v>
      </c>
    </row>
    <row r="179" spans="1:2" x14ac:dyDescent="0.3">
      <c r="A179" s="1">
        <v>2347167796</v>
      </c>
      <c r="B179" s="2">
        <v>187</v>
      </c>
    </row>
    <row r="180" spans="1:2" x14ac:dyDescent="0.3">
      <c r="A180" s="1">
        <v>4558609924</v>
      </c>
      <c r="B180" s="2">
        <v>186</v>
      </c>
    </row>
    <row r="181" spans="1:2" x14ac:dyDescent="0.3">
      <c r="A181" s="1">
        <v>4020332650</v>
      </c>
      <c r="B181" s="2">
        <v>186</v>
      </c>
    </row>
    <row r="182" spans="1:2" x14ac:dyDescent="0.3">
      <c r="A182" s="1">
        <v>4558609924</v>
      </c>
      <c r="B182" s="2">
        <v>186</v>
      </c>
    </row>
    <row r="183" spans="1:2" x14ac:dyDescent="0.3">
      <c r="A183" s="1">
        <v>4558609924</v>
      </c>
      <c r="B183" s="2">
        <v>186</v>
      </c>
    </row>
    <row r="184" spans="1:2" x14ac:dyDescent="0.3">
      <c r="A184" s="1">
        <v>4558609924</v>
      </c>
      <c r="B184" s="2">
        <v>186</v>
      </c>
    </row>
    <row r="185" spans="1:2" x14ac:dyDescent="0.3">
      <c r="A185" s="1">
        <v>2022484408</v>
      </c>
      <c r="B185" s="2">
        <v>185</v>
      </c>
    </row>
    <row r="186" spans="1:2" x14ac:dyDescent="0.3">
      <c r="A186" s="1">
        <v>4558609924</v>
      </c>
      <c r="B186" s="2">
        <v>185</v>
      </c>
    </row>
    <row r="187" spans="1:2" x14ac:dyDescent="0.3">
      <c r="A187" s="1">
        <v>2022484408</v>
      </c>
      <c r="B187" s="2">
        <v>185</v>
      </c>
    </row>
    <row r="188" spans="1:2" x14ac:dyDescent="0.3">
      <c r="A188" s="1">
        <v>2022484408</v>
      </c>
      <c r="B188" s="2">
        <v>185</v>
      </c>
    </row>
    <row r="189" spans="1:2" x14ac:dyDescent="0.3">
      <c r="A189" s="1">
        <v>4020332650</v>
      </c>
      <c r="B189" s="2">
        <v>185</v>
      </c>
    </row>
    <row r="190" spans="1:2" x14ac:dyDescent="0.3">
      <c r="A190" s="1">
        <v>2022484408</v>
      </c>
      <c r="B190" s="2">
        <v>185</v>
      </c>
    </row>
    <row r="191" spans="1:2" x14ac:dyDescent="0.3">
      <c r="A191" s="1">
        <v>2022484408</v>
      </c>
      <c r="B191" s="2">
        <v>185</v>
      </c>
    </row>
    <row r="192" spans="1:2" x14ac:dyDescent="0.3">
      <c r="A192" s="1">
        <v>4558609924</v>
      </c>
      <c r="B192" s="2">
        <v>185</v>
      </c>
    </row>
    <row r="193" spans="1:2" x14ac:dyDescent="0.3">
      <c r="A193" s="1">
        <v>4558609924</v>
      </c>
      <c r="B193" s="2">
        <v>185</v>
      </c>
    </row>
    <row r="194" spans="1:2" x14ac:dyDescent="0.3">
      <c r="A194" s="1">
        <v>2022484408</v>
      </c>
      <c r="B194" s="2">
        <v>185</v>
      </c>
    </row>
    <row r="195" spans="1:2" x14ac:dyDescent="0.3">
      <c r="A195" s="1">
        <v>4558609924</v>
      </c>
      <c r="B195" s="2">
        <v>184</v>
      </c>
    </row>
    <row r="196" spans="1:2" x14ac:dyDescent="0.3">
      <c r="A196" s="1">
        <v>6962181067</v>
      </c>
      <c r="B196" s="2">
        <v>184</v>
      </c>
    </row>
    <row r="197" spans="1:2" x14ac:dyDescent="0.3">
      <c r="A197" s="1">
        <v>4020332650</v>
      </c>
      <c r="B197" s="2">
        <v>184</v>
      </c>
    </row>
    <row r="198" spans="1:2" x14ac:dyDescent="0.3">
      <c r="A198" s="1">
        <v>2022484408</v>
      </c>
      <c r="B198" s="2">
        <v>184</v>
      </c>
    </row>
    <row r="199" spans="1:2" x14ac:dyDescent="0.3">
      <c r="A199" s="1">
        <v>4558609924</v>
      </c>
      <c r="B199" s="2">
        <v>184</v>
      </c>
    </row>
    <row r="200" spans="1:2" x14ac:dyDescent="0.3">
      <c r="A200" s="1">
        <v>2347167796</v>
      </c>
      <c r="B200" s="2">
        <v>184</v>
      </c>
    </row>
    <row r="201" spans="1:2" x14ac:dyDescent="0.3">
      <c r="A201" s="1">
        <v>2347167796</v>
      </c>
      <c r="B201" s="2">
        <v>183</v>
      </c>
    </row>
    <row r="202" spans="1:2" x14ac:dyDescent="0.3">
      <c r="A202" s="1">
        <v>4558609924</v>
      </c>
      <c r="B202" s="2">
        <v>183</v>
      </c>
    </row>
    <row r="203" spans="1:2" x14ac:dyDescent="0.3">
      <c r="A203" s="1">
        <v>6962181067</v>
      </c>
      <c r="B203" s="2">
        <v>183</v>
      </c>
    </row>
    <row r="204" spans="1:2" x14ac:dyDescent="0.3">
      <c r="A204" s="1">
        <v>6962181067</v>
      </c>
      <c r="B204" s="2">
        <v>183</v>
      </c>
    </row>
    <row r="205" spans="1:2" x14ac:dyDescent="0.3">
      <c r="A205" s="1">
        <v>4020332650</v>
      </c>
      <c r="B205" s="2">
        <v>183</v>
      </c>
    </row>
    <row r="206" spans="1:2" x14ac:dyDescent="0.3">
      <c r="A206" s="1">
        <v>2022484408</v>
      </c>
      <c r="B206" s="2">
        <v>183</v>
      </c>
    </row>
    <row r="207" spans="1:2" x14ac:dyDescent="0.3">
      <c r="A207" s="1">
        <v>2022484408</v>
      </c>
      <c r="B207" s="2">
        <v>183</v>
      </c>
    </row>
    <row r="208" spans="1:2" x14ac:dyDescent="0.3">
      <c r="A208" s="1">
        <v>4558609924</v>
      </c>
      <c r="B208" s="2">
        <v>183</v>
      </c>
    </row>
    <row r="209" spans="1:2" x14ac:dyDescent="0.3">
      <c r="A209" s="1">
        <v>4558609924</v>
      </c>
      <c r="B209" s="2">
        <v>183</v>
      </c>
    </row>
    <row r="210" spans="1:2" x14ac:dyDescent="0.3">
      <c r="A210" s="1">
        <v>4558609924</v>
      </c>
      <c r="B210" s="2">
        <v>183</v>
      </c>
    </row>
    <row r="211" spans="1:2" x14ac:dyDescent="0.3">
      <c r="A211" s="1">
        <v>2022484408</v>
      </c>
      <c r="B211" s="2">
        <v>183</v>
      </c>
    </row>
    <row r="212" spans="1:2" x14ac:dyDescent="0.3">
      <c r="A212" s="1">
        <v>4558609924</v>
      </c>
      <c r="B212" s="2">
        <v>183</v>
      </c>
    </row>
    <row r="213" spans="1:2" x14ac:dyDescent="0.3">
      <c r="A213" s="1">
        <v>2022484408</v>
      </c>
      <c r="B213" s="2">
        <v>183</v>
      </c>
    </row>
    <row r="214" spans="1:2" x14ac:dyDescent="0.3">
      <c r="A214" s="1">
        <v>2022484408</v>
      </c>
      <c r="B214" s="2">
        <v>183</v>
      </c>
    </row>
    <row r="215" spans="1:2" x14ac:dyDescent="0.3">
      <c r="A215" s="1">
        <v>2347167796</v>
      </c>
      <c r="B215" s="2">
        <v>183</v>
      </c>
    </row>
    <row r="216" spans="1:2" x14ac:dyDescent="0.3">
      <c r="A216" s="1">
        <v>2022484408</v>
      </c>
      <c r="B216" s="2">
        <v>183</v>
      </c>
    </row>
    <row r="217" spans="1:2" x14ac:dyDescent="0.3">
      <c r="A217" s="1">
        <v>2022484408</v>
      </c>
      <c r="B217" s="2">
        <v>183</v>
      </c>
    </row>
    <row r="218" spans="1:2" x14ac:dyDescent="0.3">
      <c r="A218" s="1">
        <v>2022484408</v>
      </c>
      <c r="B218" s="2">
        <v>183</v>
      </c>
    </row>
    <row r="219" spans="1:2" x14ac:dyDescent="0.3">
      <c r="A219" s="1">
        <v>2022484408</v>
      </c>
      <c r="B219" s="2">
        <v>183</v>
      </c>
    </row>
    <row r="220" spans="1:2" x14ac:dyDescent="0.3">
      <c r="A220" s="1">
        <v>2022484408</v>
      </c>
      <c r="B220" s="2">
        <v>183</v>
      </c>
    </row>
    <row r="221" spans="1:2" x14ac:dyDescent="0.3">
      <c r="A221" s="1">
        <v>2022484408</v>
      </c>
      <c r="B221" s="2">
        <v>183</v>
      </c>
    </row>
    <row r="222" spans="1:2" x14ac:dyDescent="0.3">
      <c r="A222" s="1">
        <v>4558609924</v>
      </c>
      <c r="B222" s="2">
        <v>182</v>
      </c>
    </row>
    <row r="223" spans="1:2" x14ac:dyDescent="0.3">
      <c r="A223" s="1">
        <v>6962181067</v>
      </c>
      <c r="B223" s="2">
        <v>182</v>
      </c>
    </row>
    <row r="224" spans="1:2" x14ac:dyDescent="0.3">
      <c r="A224" s="1">
        <v>4558609924</v>
      </c>
      <c r="B224" s="2">
        <v>182</v>
      </c>
    </row>
    <row r="225" spans="1:2" x14ac:dyDescent="0.3">
      <c r="A225" s="1">
        <v>4020332650</v>
      </c>
      <c r="B225" s="2">
        <v>182</v>
      </c>
    </row>
    <row r="226" spans="1:2" x14ac:dyDescent="0.3">
      <c r="A226" s="1">
        <v>4558609924</v>
      </c>
      <c r="B226" s="2">
        <v>182</v>
      </c>
    </row>
    <row r="227" spans="1:2" x14ac:dyDescent="0.3">
      <c r="A227" s="1">
        <v>6962181067</v>
      </c>
      <c r="B227" s="2">
        <v>182</v>
      </c>
    </row>
    <row r="228" spans="1:2" x14ac:dyDescent="0.3">
      <c r="A228" s="1">
        <v>4558609924</v>
      </c>
      <c r="B228" s="2">
        <v>182</v>
      </c>
    </row>
    <row r="229" spans="1:2" x14ac:dyDescent="0.3">
      <c r="A229" s="1">
        <v>4558609924</v>
      </c>
      <c r="B229" s="2">
        <v>182</v>
      </c>
    </row>
    <row r="230" spans="1:2" x14ac:dyDescent="0.3">
      <c r="A230" s="1">
        <v>2022484408</v>
      </c>
      <c r="B230" s="2">
        <v>182</v>
      </c>
    </row>
    <row r="231" spans="1:2" x14ac:dyDescent="0.3">
      <c r="A231" s="1">
        <v>6962181067</v>
      </c>
      <c r="B231" s="2">
        <v>181</v>
      </c>
    </row>
    <row r="232" spans="1:2" x14ac:dyDescent="0.3">
      <c r="A232" s="1">
        <v>4558609924</v>
      </c>
      <c r="B232" s="2">
        <v>181</v>
      </c>
    </row>
    <row r="233" spans="1:2" x14ac:dyDescent="0.3">
      <c r="A233" s="1">
        <v>4558609924</v>
      </c>
      <c r="B233" s="2">
        <v>181</v>
      </c>
    </row>
    <row r="234" spans="1:2" x14ac:dyDescent="0.3">
      <c r="A234" s="1">
        <v>6962181067</v>
      </c>
      <c r="B234" s="2">
        <v>181</v>
      </c>
    </row>
    <row r="235" spans="1:2" x14ac:dyDescent="0.3">
      <c r="A235" s="1">
        <v>6962181067</v>
      </c>
      <c r="B235" s="2">
        <v>181</v>
      </c>
    </row>
    <row r="236" spans="1:2" x14ac:dyDescent="0.3">
      <c r="A236" s="1">
        <v>4558609924</v>
      </c>
      <c r="B236" s="2">
        <v>181</v>
      </c>
    </row>
    <row r="237" spans="1:2" x14ac:dyDescent="0.3">
      <c r="A237" s="1">
        <v>6117666160</v>
      </c>
      <c r="B237" s="2">
        <v>181</v>
      </c>
    </row>
    <row r="238" spans="1:2" x14ac:dyDescent="0.3">
      <c r="A238" s="1">
        <v>4020332650</v>
      </c>
      <c r="B238" s="2">
        <v>181</v>
      </c>
    </row>
    <row r="239" spans="1:2" x14ac:dyDescent="0.3">
      <c r="A239" s="1">
        <v>4558609924</v>
      </c>
      <c r="B239" s="2">
        <v>181</v>
      </c>
    </row>
    <row r="240" spans="1:2" x14ac:dyDescent="0.3">
      <c r="A240" s="1">
        <v>4558609924</v>
      </c>
      <c r="B240" s="2">
        <v>181</v>
      </c>
    </row>
    <row r="241" spans="1:2" x14ac:dyDescent="0.3">
      <c r="A241" s="1">
        <v>2022484408</v>
      </c>
      <c r="B241" s="2">
        <v>181</v>
      </c>
    </row>
    <row r="242" spans="1:2" x14ac:dyDescent="0.3">
      <c r="A242" s="1">
        <v>2022484408</v>
      </c>
      <c r="B242" s="2">
        <v>181</v>
      </c>
    </row>
    <row r="243" spans="1:2" x14ac:dyDescent="0.3">
      <c r="A243" s="1">
        <v>2022484408</v>
      </c>
      <c r="B243" s="2">
        <v>181</v>
      </c>
    </row>
    <row r="244" spans="1:2" x14ac:dyDescent="0.3">
      <c r="A244" s="1">
        <v>6117666160</v>
      </c>
      <c r="B244" s="2">
        <v>181</v>
      </c>
    </row>
    <row r="245" spans="1:2" x14ac:dyDescent="0.3">
      <c r="A245" s="1">
        <v>2022484408</v>
      </c>
      <c r="B245" s="2">
        <v>181</v>
      </c>
    </row>
    <row r="246" spans="1:2" x14ac:dyDescent="0.3">
      <c r="A246" s="1">
        <v>8877689391</v>
      </c>
      <c r="B246" s="2">
        <v>180</v>
      </c>
    </row>
    <row r="247" spans="1:2" x14ac:dyDescent="0.3">
      <c r="A247" s="1">
        <v>6962181067</v>
      </c>
      <c r="B247" s="2">
        <v>180</v>
      </c>
    </row>
    <row r="248" spans="1:2" x14ac:dyDescent="0.3">
      <c r="A248" s="1">
        <v>2022484408</v>
      </c>
      <c r="B248" s="2">
        <v>180</v>
      </c>
    </row>
    <row r="249" spans="1:2" x14ac:dyDescent="0.3">
      <c r="A249" s="1">
        <v>2022484408</v>
      </c>
      <c r="B249" s="2">
        <v>180</v>
      </c>
    </row>
    <row r="250" spans="1:2" x14ac:dyDescent="0.3">
      <c r="A250" s="1">
        <v>4020332650</v>
      </c>
      <c r="B250" s="2">
        <v>180</v>
      </c>
    </row>
    <row r="251" spans="1:2" x14ac:dyDescent="0.3">
      <c r="A251" s="3">
        <v>4020332650</v>
      </c>
      <c r="B251" s="4">
        <v>180</v>
      </c>
    </row>
  </sheetData>
  <mergeCells count="1">
    <mergeCell ref="D2:M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8C9BB-4FA2-47E0-AFE9-D3BFCBDA4E85}">
  <dimension ref="A1:P68"/>
  <sheetViews>
    <sheetView workbookViewId="0"/>
  </sheetViews>
  <sheetFormatPr defaultRowHeight="14.4" x14ac:dyDescent="0.3"/>
  <cols>
    <col min="1" max="1" width="11" bestFit="1" customWidth="1"/>
    <col min="2" max="2" width="10.109375" bestFit="1" customWidth="1"/>
    <col min="3" max="3" width="5.5546875" bestFit="1" customWidth="1"/>
    <col min="4" max="4" width="14.6640625" bestFit="1" customWidth="1"/>
  </cols>
  <sheetData>
    <row r="1" spans="1:16" x14ac:dyDescent="0.3">
      <c r="A1" s="5" t="s">
        <v>0</v>
      </c>
      <c r="B1" s="7" t="s">
        <v>2</v>
      </c>
      <c r="C1" s="6" t="s">
        <v>3</v>
      </c>
      <c r="D1" s="15" t="s">
        <v>10</v>
      </c>
    </row>
    <row r="2" spans="1:16" x14ac:dyDescent="0.3">
      <c r="A2" s="1">
        <v>1503960366</v>
      </c>
      <c r="B2" s="8">
        <v>52.599998474121101</v>
      </c>
      <c r="C2" s="9">
        <v>22.649999618530298</v>
      </c>
      <c r="D2" t="str">
        <f>_xlfn.XLOOKUP(A2,'Heartrate Cleaned'!$A$2:$A$251,'Heartrate Cleaned'!$B$2:$B$251,"Not Available")</f>
        <v>Not Available</v>
      </c>
      <c r="F2" s="30" t="s">
        <v>11</v>
      </c>
      <c r="G2" s="29"/>
      <c r="H2" s="29"/>
      <c r="I2" s="29"/>
      <c r="J2" s="29"/>
      <c r="K2" s="29"/>
      <c r="L2" s="29"/>
      <c r="M2" s="29"/>
      <c r="N2" s="29"/>
      <c r="O2" s="29"/>
      <c r="P2" s="31"/>
    </row>
    <row r="3" spans="1:16" x14ac:dyDescent="0.3">
      <c r="A3" s="1">
        <v>1503960366</v>
      </c>
      <c r="B3" s="8">
        <v>52.599998474121101</v>
      </c>
      <c r="C3" s="9">
        <v>22.649999618530298</v>
      </c>
      <c r="D3" t="str">
        <f>_xlfn.XLOOKUP(A3,'Heartrate Cleaned'!$A$2:$A$251,'Heartrate Cleaned'!$B$2:$B$251,"Not Available")</f>
        <v>Not Available</v>
      </c>
      <c r="F3" s="34" t="s">
        <v>18</v>
      </c>
      <c r="G3" s="32"/>
      <c r="H3" s="32"/>
      <c r="I3" s="32"/>
      <c r="J3" s="32"/>
      <c r="K3" s="32"/>
      <c r="L3" s="32"/>
      <c r="M3" s="32"/>
      <c r="N3" s="32"/>
      <c r="O3" s="32"/>
      <c r="P3" s="33"/>
    </row>
    <row r="4" spans="1:16" x14ac:dyDescent="0.3">
      <c r="A4" s="1">
        <v>1927972279</v>
      </c>
      <c r="B4" s="8">
        <v>133.5</v>
      </c>
      <c r="C4" s="9">
        <v>47.540000915527301</v>
      </c>
      <c r="D4" t="str">
        <f>_xlfn.XLOOKUP(A4,'Heartrate Cleaned'!$A$2:$A$251,'Heartrate Cleaned'!$B$2:$B$251,"Not Available")</f>
        <v>Not Available</v>
      </c>
    </row>
    <row r="5" spans="1:16" x14ac:dyDescent="0.3">
      <c r="A5" s="1">
        <v>2873212765</v>
      </c>
      <c r="B5" s="8">
        <v>56.700000762939503</v>
      </c>
      <c r="C5" s="9">
        <v>21.450000762939499</v>
      </c>
      <c r="D5" t="str">
        <f>_xlfn.XLOOKUP(A5,'Heartrate Cleaned'!$A$2:$A$251,'Heartrate Cleaned'!$B$2:$B$251,"Not Available")</f>
        <v>Not Available</v>
      </c>
    </row>
    <row r="6" spans="1:16" x14ac:dyDescent="0.3">
      <c r="A6" s="1">
        <v>2873212765</v>
      </c>
      <c r="B6" s="8">
        <v>57.299999237060497</v>
      </c>
      <c r="C6" s="9">
        <v>21.690000534057599</v>
      </c>
      <c r="D6" t="str">
        <f>_xlfn.XLOOKUP(A6,'Heartrate Cleaned'!$A$2:$A$251,'Heartrate Cleaned'!$B$2:$B$251,"Not Available")</f>
        <v>Not Available</v>
      </c>
    </row>
    <row r="7" spans="1:16" x14ac:dyDescent="0.3">
      <c r="A7" s="1">
        <v>4319703577</v>
      </c>
      <c r="B7" s="8">
        <v>72.400001525878906</v>
      </c>
      <c r="C7" s="9">
        <v>27.450000762939499</v>
      </c>
      <c r="D7" t="str">
        <f>_xlfn.XLOOKUP(A7,'Heartrate Cleaned'!$A$2:$A$251,'Heartrate Cleaned'!$B$2:$B$251,"Not Available")</f>
        <v>Not Available</v>
      </c>
    </row>
    <row r="8" spans="1:16" x14ac:dyDescent="0.3">
      <c r="A8" s="1">
        <v>4319703577</v>
      </c>
      <c r="B8" s="8">
        <v>72.300003051757798</v>
      </c>
      <c r="C8" s="9">
        <v>27.379999160766602</v>
      </c>
      <c r="D8" t="str">
        <f>_xlfn.XLOOKUP(A8,'Heartrate Cleaned'!$A$2:$A$251,'Heartrate Cleaned'!$B$2:$B$251,"Not Available")</f>
        <v>Not Available</v>
      </c>
    </row>
    <row r="9" spans="1:16" x14ac:dyDescent="0.3">
      <c r="A9" s="1">
        <v>4558609924</v>
      </c>
      <c r="B9" s="8">
        <v>69.699996948242202</v>
      </c>
      <c r="C9" s="9">
        <v>27.25</v>
      </c>
      <c r="D9">
        <f>_xlfn.XLOOKUP(A9,'Heartrate Cleaned'!$A$2:$A$251,'Heartrate Cleaned'!$B$2:$B$251,"Not Available")</f>
        <v>199</v>
      </c>
    </row>
    <row r="10" spans="1:16" x14ac:dyDescent="0.3">
      <c r="A10" s="1">
        <v>4558609924</v>
      </c>
      <c r="B10" s="8">
        <v>70.300003051757798</v>
      </c>
      <c r="C10" s="9">
        <v>27.459999084472699</v>
      </c>
      <c r="D10">
        <f>_xlfn.XLOOKUP(A10,'Heartrate Cleaned'!$A$2:$A$251,'Heartrate Cleaned'!$B$2:$B$251,"Not Available")</f>
        <v>199</v>
      </c>
    </row>
    <row r="11" spans="1:16" x14ac:dyDescent="0.3">
      <c r="A11" s="1">
        <v>4558609924</v>
      </c>
      <c r="B11" s="8">
        <v>69.900001525878906</v>
      </c>
      <c r="C11" s="9">
        <v>27.319999694824201</v>
      </c>
      <c r="D11">
        <f>_xlfn.XLOOKUP(A11,'Heartrate Cleaned'!$A$2:$A$251,'Heartrate Cleaned'!$B$2:$B$251,"Not Available")</f>
        <v>199</v>
      </c>
    </row>
    <row r="12" spans="1:16" x14ac:dyDescent="0.3">
      <c r="A12" s="1">
        <v>4558609924</v>
      </c>
      <c r="B12" s="8">
        <v>69.199996948242202</v>
      </c>
      <c r="C12" s="9">
        <v>27.040000915527301</v>
      </c>
      <c r="D12">
        <f>_xlfn.XLOOKUP(A12,'Heartrate Cleaned'!$A$2:$A$251,'Heartrate Cleaned'!$B$2:$B$251,"Not Available")</f>
        <v>199</v>
      </c>
    </row>
    <row r="13" spans="1:16" x14ac:dyDescent="0.3">
      <c r="A13" s="1">
        <v>4558609924</v>
      </c>
      <c r="B13" s="8">
        <v>69.099998474121094</v>
      </c>
      <c r="C13" s="9">
        <v>27</v>
      </c>
      <c r="D13">
        <f>_xlfn.XLOOKUP(A13,'Heartrate Cleaned'!$A$2:$A$251,'Heartrate Cleaned'!$B$2:$B$251,"Not Available")</f>
        <v>199</v>
      </c>
    </row>
    <row r="14" spans="1:16" x14ac:dyDescent="0.3">
      <c r="A14" s="1">
        <v>5577150313</v>
      </c>
      <c r="B14" s="8">
        <v>90.699996948242202</v>
      </c>
      <c r="C14" s="9">
        <v>28</v>
      </c>
      <c r="D14" t="str">
        <f>_xlfn.XLOOKUP(A14,'Heartrate Cleaned'!$A$2:$A$251,'Heartrate Cleaned'!$B$2:$B$251,"Not Available")</f>
        <v>Not Available</v>
      </c>
    </row>
    <row r="15" spans="1:16" x14ac:dyDescent="0.3">
      <c r="A15" s="1">
        <v>6962181067</v>
      </c>
      <c r="B15" s="8">
        <v>62.5</v>
      </c>
      <c r="C15" s="9">
        <v>24.389999389648398</v>
      </c>
      <c r="D15">
        <f>_xlfn.XLOOKUP(A15,'Heartrate Cleaned'!$A$2:$A$251,'Heartrate Cleaned'!$B$2:$B$251,"Not Available")</f>
        <v>184</v>
      </c>
    </row>
    <row r="16" spans="1:16" x14ac:dyDescent="0.3">
      <c r="A16" s="1">
        <v>6962181067</v>
      </c>
      <c r="B16" s="8">
        <v>62.099998474121101</v>
      </c>
      <c r="C16" s="9">
        <v>24.2399997711182</v>
      </c>
      <c r="D16">
        <f>_xlfn.XLOOKUP(A16,'Heartrate Cleaned'!$A$2:$A$251,'Heartrate Cleaned'!$B$2:$B$251,"Not Available")</f>
        <v>184</v>
      </c>
    </row>
    <row r="17" spans="1:4" x14ac:dyDescent="0.3">
      <c r="A17" s="1">
        <v>6962181067</v>
      </c>
      <c r="B17" s="8">
        <v>61.700000762939503</v>
      </c>
      <c r="C17" s="9">
        <v>24.100000381469702</v>
      </c>
      <c r="D17">
        <f>_xlfn.XLOOKUP(A17,'Heartrate Cleaned'!$A$2:$A$251,'Heartrate Cleaned'!$B$2:$B$251,"Not Available")</f>
        <v>184</v>
      </c>
    </row>
    <row r="18" spans="1:4" x14ac:dyDescent="0.3">
      <c r="A18" s="1">
        <v>6962181067</v>
      </c>
      <c r="B18" s="8">
        <v>61.5</v>
      </c>
      <c r="C18" s="9">
        <v>24</v>
      </c>
      <c r="D18">
        <f>_xlfn.XLOOKUP(A18,'Heartrate Cleaned'!$A$2:$A$251,'Heartrate Cleaned'!$B$2:$B$251,"Not Available")</f>
        <v>184</v>
      </c>
    </row>
    <row r="19" spans="1:4" x14ac:dyDescent="0.3">
      <c r="A19" s="1">
        <v>6962181067</v>
      </c>
      <c r="B19" s="8">
        <v>62</v>
      </c>
      <c r="C19" s="9">
        <v>24.209999084472699</v>
      </c>
      <c r="D19">
        <f>_xlfn.XLOOKUP(A19,'Heartrate Cleaned'!$A$2:$A$251,'Heartrate Cleaned'!$B$2:$B$251,"Not Available")</f>
        <v>184</v>
      </c>
    </row>
    <row r="20" spans="1:4" x14ac:dyDescent="0.3">
      <c r="A20" s="1">
        <v>6962181067</v>
      </c>
      <c r="B20" s="8">
        <v>61.400001525878899</v>
      </c>
      <c r="C20" s="9">
        <v>23.959999084472699</v>
      </c>
      <c r="D20">
        <f>_xlfn.XLOOKUP(A20,'Heartrate Cleaned'!$A$2:$A$251,'Heartrate Cleaned'!$B$2:$B$251,"Not Available")</f>
        <v>184</v>
      </c>
    </row>
    <row r="21" spans="1:4" x14ac:dyDescent="0.3">
      <c r="A21" s="1">
        <v>6962181067</v>
      </c>
      <c r="B21" s="8">
        <v>61.200000762939503</v>
      </c>
      <c r="C21" s="9">
        <v>23.889999389648398</v>
      </c>
      <c r="D21">
        <f>_xlfn.XLOOKUP(A21,'Heartrate Cleaned'!$A$2:$A$251,'Heartrate Cleaned'!$B$2:$B$251,"Not Available")</f>
        <v>184</v>
      </c>
    </row>
    <row r="22" spans="1:4" x14ac:dyDescent="0.3">
      <c r="A22" s="1">
        <v>6962181067</v>
      </c>
      <c r="B22" s="8">
        <v>61.400001525878899</v>
      </c>
      <c r="C22" s="9">
        <v>23.959999084472699</v>
      </c>
      <c r="D22">
        <f>_xlfn.XLOOKUP(A22,'Heartrate Cleaned'!$A$2:$A$251,'Heartrate Cleaned'!$B$2:$B$251,"Not Available")</f>
        <v>184</v>
      </c>
    </row>
    <row r="23" spans="1:4" x14ac:dyDescent="0.3">
      <c r="A23" s="1">
        <v>6962181067</v>
      </c>
      <c r="B23" s="8">
        <v>61.700000762939503</v>
      </c>
      <c r="C23" s="9">
        <v>24.100000381469702</v>
      </c>
      <c r="D23">
        <f>_xlfn.XLOOKUP(A23,'Heartrate Cleaned'!$A$2:$A$251,'Heartrate Cleaned'!$B$2:$B$251,"Not Available")</f>
        <v>184</v>
      </c>
    </row>
    <row r="24" spans="1:4" x14ac:dyDescent="0.3">
      <c r="A24" s="1">
        <v>6962181067</v>
      </c>
      <c r="B24" s="8">
        <v>61.400001525878899</v>
      </c>
      <c r="C24" s="9">
        <v>23.959999084472699</v>
      </c>
      <c r="D24">
        <f>_xlfn.XLOOKUP(A24,'Heartrate Cleaned'!$A$2:$A$251,'Heartrate Cleaned'!$B$2:$B$251,"Not Available")</f>
        <v>184</v>
      </c>
    </row>
    <row r="25" spans="1:4" x14ac:dyDescent="0.3">
      <c r="A25" s="1">
        <v>6962181067</v>
      </c>
      <c r="B25" s="8">
        <v>61.400001525878899</v>
      </c>
      <c r="C25" s="9">
        <v>23.959999084472699</v>
      </c>
      <c r="D25">
        <f>_xlfn.XLOOKUP(A25,'Heartrate Cleaned'!$A$2:$A$251,'Heartrate Cleaned'!$B$2:$B$251,"Not Available")</f>
        <v>184</v>
      </c>
    </row>
    <row r="26" spans="1:4" x14ac:dyDescent="0.3">
      <c r="A26" s="1">
        <v>6962181067</v>
      </c>
      <c r="B26" s="8">
        <v>61.5</v>
      </c>
      <c r="C26" s="9">
        <v>24</v>
      </c>
      <c r="D26">
        <f>_xlfn.XLOOKUP(A26,'Heartrate Cleaned'!$A$2:$A$251,'Heartrate Cleaned'!$B$2:$B$251,"Not Available")</f>
        <v>184</v>
      </c>
    </row>
    <row r="27" spans="1:4" x14ac:dyDescent="0.3">
      <c r="A27" s="1">
        <v>6962181067</v>
      </c>
      <c r="B27" s="8">
        <v>61.5</v>
      </c>
      <c r="C27" s="9">
        <v>24</v>
      </c>
      <c r="D27">
        <f>_xlfn.XLOOKUP(A27,'Heartrate Cleaned'!$A$2:$A$251,'Heartrate Cleaned'!$B$2:$B$251,"Not Available")</f>
        <v>184</v>
      </c>
    </row>
    <row r="28" spans="1:4" x14ac:dyDescent="0.3">
      <c r="A28" s="1">
        <v>6962181067</v>
      </c>
      <c r="B28" s="8">
        <v>61.700000762939503</v>
      </c>
      <c r="C28" s="9">
        <v>24.100000381469702</v>
      </c>
      <c r="D28">
        <f>_xlfn.XLOOKUP(A28,'Heartrate Cleaned'!$A$2:$A$251,'Heartrate Cleaned'!$B$2:$B$251,"Not Available")</f>
        <v>184</v>
      </c>
    </row>
    <row r="29" spans="1:4" x14ac:dyDescent="0.3">
      <c r="A29" s="1">
        <v>6962181067</v>
      </c>
      <c r="B29" s="8">
        <v>61.200000762939503</v>
      </c>
      <c r="C29" s="9">
        <v>23.889999389648398</v>
      </c>
      <c r="D29">
        <f>_xlfn.XLOOKUP(A29,'Heartrate Cleaned'!$A$2:$A$251,'Heartrate Cleaned'!$B$2:$B$251,"Not Available")</f>
        <v>184</v>
      </c>
    </row>
    <row r="30" spans="1:4" x14ac:dyDescent="0.3">
      <c r="A30" s="1">
        <v>6962181067</v>
      </c>
      <c r="B30" s="8">
        <v>61.200000762939503</v>
      </c>
      <c r="C30" s="9">
        <v>23.889999389648398</v>
      </c>
      <c r="D30">
        <f>_xlfn.XLOOKUP(A30,'Heartrate Cleaned'!$A$2:$A$251,'Heartrate Cleaned'!$B$2:$B$251,"Not Available")</f>
        <v>184</v>
      </c>
    </row>
    <row r="31" spans="1:4" x14ac:dyDescent="0.3">
      <c r="A31" s="1">
        <v>6962181067</v>
      </c>
      <c r="B31" s="8">
        <v>61.400001525878899</v>
      </c>
      <c r="C31" s="9">
        <v>23.959999084472699</v>
      </c>
      <c r="D31">
        <f>_xlfn.XLOOKUP(A31,'Heartrate Cleaned'!$A$2:$A$251,'Heartrate Cleaned'!$B$2:$B$251,"Not Available")</f>
        <v>184</v>
      </c>
    </row>
    <row r="32" spans="1:4" x14ac:dyDescent="0.3">
      <c r="A32" s="1">
        <v>6962181067</v>
      </c>
      <c r="B32" s="8">
        <v>61</v>
      </c>
      <c r="C32" s="9">
        <v>23.819999694824201</v>
      </c>
      <c r="D32">
        <f>_xlfn.XLOOKUP(A32,'Heartrate Cleaned'!$A$2:$A$251,'Heartrate Cleaned'!$B$2:$B$251,"Not Available")</f>
        <v>184</v>
      </c>
    </row>
    <row r="33" spans="1:4" x14ac:dyDescent="0.3">
      <c r="A33" s="1">
        <v>6962181067</v>
      </c>
      <c r="B33" s="8">
        <v>61.700000762939503</v>
      </c>
      <c r="C33" s="9">
        <v>24.100000381469702</v>
      </c>
      <c r="D33">
        <f>_xlfn.XLOOKUP(A33,'Heartrate Cleaned'!$A$2:$A$251,'Heartrate Cleaned'!$B$2:$B$251,"Not Available")</f>
        <v>184</v>
      </c>
    </row>
    <row r="34" spans="1:4" x14ac:dyDescent="0.3">
      <c r="A34" s="1">
        <v>6962181067</v>
      </c>
      <c r="B34" s="8">
        <v>61.5</v>
      </c>
      <c r="C34" s="9">
        <v>24</v>
      </c>
      <c r="D34">
        <f>_xlfn.XLOOKUP(A34,'Heartrate Cleaned'!$A$2:$A$251,'Heartrate Cleaned'!$B$2:$B$251,"Not Available")</f>
        <v>184</v>
      </c>
    </row>
    <row r="35" spans="1:4" x14ac:dyDescent="0.3">
      <c r="A35" s="1">
        <v>6962181067</v>
      </c>
      <c r="B35" s="8">
        <v>61</v>
      </c>
      <c r="C35" s="9">
        <v>23.819999694824201</v>
      </c>
      <c r="D35">
        <f>_xlfn.XLOOKUP(A35,'Heartrate Cleaned'!$A$2:$A$251,'Heartrate Cleaned'!$B$2:$B$251,"Not Available")</f>
        <v>184</v>
      </c>
    </row>
    <row r="36" spans="1:4" x14ac:dyDescent="0.3">
      <c r="A36" s="1">
        <v>6962181067</v>
      </c>
      <c r="B36" s="8">
        <v>61.099998474121101</v>
      </c>
      <c r="C36" s="9">
        <v>23.850000381469702</v>
      </c>
      <c r="D36">
        <f>_xlfn.XLOOKUP(A36,'Heartrate Cleaned'!$A$2:$A$251,'Heartrate Cleaned'!$B$2:$B$251,"Not Available")</f>
        <v>184</v>
      </c>
    </row>
    <row r="37" spans="1:4" x14ac:dyDescent="0.3">
      <c r="A37" s="1">
        <v>6962181067</v>
      </c>
      <c r="B37" s="8">
        <v>61.299999237060497</v>
      </c>
      <c r="C37" s="9">
        <v>23.930000305175799</v>
      </c>
      <c r="D37">
        <f>_xlfn.XLOOKUP(A37,'Heartrate Cleaned'!$A$2:$A$251,'Heartrate Cleaned'!$B$2:$B$251,"Not Available")</f>
        <v>184</v>
      </c>
    </row>
    <row r="38" spans="1:4" x14ac:dyDescent="0.3">
      <c r="A38" s="1">
        <v>6962181067</v>
      </c>
      <c r="B38" s="8">
        <v>61.5</v>
      </c>
      <c r="C38" s="9">
        <v>24</v>
      </c>
      <c r="D38">
        <f>_xlfn.XLOOKUP(A38,'Heartrate Cleaned'!$A$2:$A$251,'Heartrate Cleaned'!$B$2:$B$251,"Not Available")</f>
        <v>184</v>
      </c>
    </row>
    <row r="39" spans="1:4" x14ac:dyDescent="0.3">
      <c r="A39" s="1">
        <v>6962181067</v>
      </c>
      <c r="B39" s="8">
        <v>61.200000762939503</v>
      </c>
      <c r="C39" s="9">
        <v>23.889999389648398</v>
      </c>
      <c r="D39">
        <f>_xlfn.XLOOKUP(A39,'Heartrate Cleaned'!$A$2:$A$251,'Heartrate Cleaned'!$B$2:$B$251,"Not Available")</f>
        <v>184</v>
      </c>
    </row>
    <row r="40" spans="1:4" x14ac:dyDescent="0.3">
      <c r="A40" s="1">
        <v>6962181067</v>
      </c>
      <c r="B40" s="8">
        <v>61.200000762939503</v>
      </c>
      <c r="C40" s="9">
        <v>23.889999389648398</v>
      </c>
      <c r="D40">
        <f>_xlfn.XLOOKUP(A40,'Heartrate Cleaned'!$A$2:$A$251,'Heartrate Cleaned'!$B$2:$B$251,"Not Available")</f>
        <v>184</v>
      </c>
    </row>
    <row r="41" spans="1:4" x14ac:dyDescent="0.3">
      <c r="A41" s="1">
        <v>6962181067</v>
      </c>
      <c r="B41" s="8">
        <v>62.400001525878899</v>
      </c>
      <c r="C41" s="9">
        <v>24.350000381469702</v>
      </c>
      <c r="D41">
        <f>_xlfn.XLOOKUP(A41,'Heartrate Cleaned'!$A$2:$A$251,'Heartrate Cleaned'!$B$2:$B$251,"Not Available")</f>
        <v>184</v>
      </c>
    </row>
    <row r="42" spans="1:4" x14ac:dyDescent="0.3">
      <c r="A42" s="1">
        <v>6962181067</v>
      </c>
      <c r="B42" s="8">
        <v>62.099998474121101</v>
      </c>
      <c r="C42" s="9">
        <v>24.2399997711182</v>
      </c>
      <c r="D42">
        <f>_xlfn.XLOOKUP(A42,'Heartrate Cleaned'!$A$2:$A$251,'Heartrate Cleaned'!$B$2:$B$251,"Not Available")</f>
        <v>184</v>
      </c>
    </row>
    <row r="43" spans="1:4" x14ac:dyDescent="0.3">
      <c r="A43" s="1">
        <v>6962181067</v>
      </c>
      <c r="B43" s="8">
        <v>61.900001525878899</v>
      </c>
      <c r="C43" s="9">
        <v>24.170000076293899</v>
      </c>
      <c r="D43">
        <f>_xlfn.XLOOKUP(A43,'Heartrate Cleaned'!$A$2:$A$251,'Heartrate Cleaned'!$B$2:$B$251,"Not Available")</f>
        <v>184</v>
      </c>
    </row>
    <row r="44" spans="1:4" x14ac:dyDescent="0.3">
      <c r="A44" s="1">
        <v>6962181067</v>
      </c>
      <c r="B44" s="8">
        <v>61.900001525878899</v>
      </c>
      <c r="C44" s="9">
        <v>24.170000076293899</v>
      </c>
      <c r="D44">
        <f>_xlfn.XLOOKUP(A44,'Heartrate Cleaned'!$A$2:$A$251,'Heartrate Cleaned'!$B$2:$B$251,"Not Available")</f>
        <v>184</v>
      </c>
    </row>
    <row r="45" spans="1:4" x14ac:dyDescent="0.3">
      <c r="A45" s="1">
        <v>8877689391</v>
      </c>
      <c r="B45" s="8">
        <v>85.800003051757798</v>
      </c>
      <c r="C45" s="9">
        <v>25.680000305175799</v>
      </c>
      <c r="D45">
        <f>_xlfn.XLOOKUP(A45,'Heartrate Cleaned'!$A$2:$A$251,'Heartrate Cleaned'!$B$2:$B$251,"Not Available")</f>
        <v>180</v>
      </c>
    </row>
    <row r="46" spans="1:4" x14ac:dyDescent="0.3">
      <c r="A46" s="1">
        <v>8877689391</v>
      </c>
      <c r="B46" s="8">
        <v>84.900001525878906</v>
      </c>
      <c r="C46" s="9">
        <v>25.409999847412099</v>
      </c>
      <c r="D46">
        <f>_xlfn.XLOOKUP(A46,'Heartrate Cleaned'!$A$2:$A$251,'Heartrate Cleaned'!$B$2:$B$251,"Not Available")</f>
        <v>180</v>
      </c>
    </row>
    <row r="47" spans="1:4" x14ac:dyDescent="0.3">
      <c r="A47" s="1">
        <v>8877689391</v>
      </c>
      <c r="B47" s="8">
        <v>84.5</v>
      </c>
      <c r="C47" s="9">
        <v>25.309999465942401</v>
      </c>
      <c r="D47">
        <f>_xlfn.XLOOKUP(A47,'Heartrate Cleaned'!$A$2:$A$251,'Heartrate Cleaned'!$B$2:$B$251,"Not Available")</f>
        <v>180</v>
      </c>
    </row>
    <row r="48" spans="1:4" x14ac:dyDescent="0.3">
      <c r="A48" s="1">
        <v>8877689391</v>
      </c>
      <c r="B48" s="8">
        <v>85.5</v>
      </c>
      <c r="C48" s="9">
        <v>25.590000152587901</v>
      </c>
      <c r="D48">
        <f>_xlfn.XLOOKUP(A48,'Heartrate Cleaned'!$A$2:$A$251,'Heartrate Cleaned'!$B$2:$B$251,"Not Available")</f>
        <v>180</v>
      </c>
    </row>
    <row r="49" spans="1:4" x14ac:dyDescent="0.3">
      <c r="A49" s="1">
        <v>8877689391</v>
      </c>
      <c r="B49" s="8">
        <v>85.800003051757798</v>
      </c>
      <c r="C49" s="9">
        <v>25.680000305175799</v>
      </c>
      <c r="D49">
        <f>_xlfn.XLOOKUP(A49,'Heartrate Cleaned'!$A$2:$A$251,'Heartrate Cleaned'!$B$2:$B$251,"Not Available")</f>
        <v>180</v>
      </c>
    </row>
    <row r="50" spans="1:4" x14ac:dyDescent="0.3">
      <c r="A50" s="1">
        <v>8877689391</v>
      </c>
      <c r="B50" s="8">
        <v>85.300003051757798</v>
      </c>
      <c r="C50" s="9">
        <v>25.530000686645501</v>
      </c>
      <c r="D50">
        <f>_xlfn.XLOOKUP(A50,'Heartrate Cleaned'!$A$2:$A$251,'Heartrate Cleaned'!$B$2:$B$251,"Not Available")</f>
        <v>180</v>
      </c>
    </row>
    <row r="51" spans="1:4" x14ac:dyDescent="0.3">
      <c r="A51" s="1">
        <v>8877689391</v>
      </c>
      <c r="B51" s="8">
        <v>84.900001525878906</v>
      </c>
      <c r="C51" s="9">
        <v>25.409999847412099</v>
      </c>
      <c r="D51">
        <f>_xlfn.XLOOKUP(A51,'Heartrate Cleaned'!$A$2:$A$251,'Heartrate Cleaned'!$B$2:$B$251,"Not Available")</f>
        <v>180</v>
      </c>
    </row>
    <row r="52" spans="1:4" x14ac:dyDescent="0.3">
      <c r="A52" s="1">
        <v>8877689391</v>
      </c>
      <c r="B52" s="8">
        <v>84.5</v>
      </c>
      <c r="C52" s="9">
        <v>25.290000915527301</v>
      </c>
      <c r="D52">
        <f>_xlfn.XLOOKUP(A52,'Heartrate Cleaned'!$A$2:$A$251,'Heartrate Cleaned'!$B$2:$B$251,"Not Available")</f>
        <v>180</v>
      </c>
    </row>
    <row r="53" spans="1:4" x14ac:dyDescent="0.3">
      <c r="A53" s="1">
        <v>8877689391</v>
      </c>
      <c r="B53" s="8">
        <v>85.5</v>
      </c>
      <c r="C53" s="9">
        <v>25.590000152587901</v>
      </c>
      <c r="D53">
        <f>_xlfn.XLOOKUP(A53,'Heartrate Cleaned'!$A$2:$A$251,'Heartrate Cleaned'!$B$2:$B$251,"Not Available")</f>
        <v>180</v>
      </c>
    </row>
    <row r="54" spans="1:4" x14ac:dyDescent="0.3">
      <c r="A54" s="1">
        <v>8877689391</v>
      </c>
      <c r="B54" s="8">
        <v>85.5</v>
      </c>
      <c r="C54" s="9">
        <v>25.590000152587901</v>
      </c>
      <c r="D54">
        <f>_xlfn.XLOOKUP(A54,'Heartrate Cleaned'!$A$2:$A$251,'Heartrate Cleaned'!$B$2:$B$251,"Not Available")</f>
        <v>180</v>
      </c>
    </row>
    <row r="55" spans="1:4" x14ac:dyDescent="0.3">
      <c r="A55" s="1">
        <v>8877689391</v>
      </c>
      <c r="B55" s="8">
        <v>85.400001525878906</v>
      </c>
      <c r="C55" s="9">
        <v>25.559999465942401</v>
      </c>
      <c r="D55">
        <f>_xlfn.XLOOKUP(A55,'Heartrate Cleaned'!$A$2:$A$251,'Heartrate Cleaned'!$B$2:$B$251,"Not Available")</f>
        <v>180</v>
      </c>
    </row>
    <row r="56" spans="1:4" x14ac:dyDescent="0.3">
      <c r="A56" s="1">
        <v>8877689391</v>
      </c>
      <c r="B56" s="8">
        <v>85.099998474121094</v>
      </c>
      <c r="C56" s="9">
        <v>25.4899997711182</v>
      </c>
      <c r="D56">
        <f>_xlfn.XLOOKUP(A56,'Heartrate Cleaned'!$A$2:$A$251,'Heartrate Cleaned'!$B$2:$B$251,"Not Available")</f>
        <v>180</v>
      </c>
    </row>
    <row r="57" spans="1:4" x14ac:dyDescent="0.3">
      <c r="A57" s="1">
        <v>8877689391</v>
      </c>
      <c r="B57" s="8">
        <v>85.400001525878906</v>
      </c>
      <c r="C57" s="9">
        <v>25.559999465942401</v>
      </c>
      <c r="D57">
        <f>_xlfn.XLOOKUP(A57,'Heartrate Cleaned'!$A$2:$A$251,'Heartrate Cleaned'!$B$2:$B$251,"Not Available")</f>
        <v>180</v>
      </c>
    </row>
    <row r="58" spans="1:4" x14ac:dyDescent="0.3">
      <c r="A58" s="1">
        <v>8877689391</v>
      </c>
      <c r="B58" s="8">
        <v>85.099998474121094</v>
      </c>
      <c r="C58" s="9">
        <v>25.4899997711182</v>
      </c>
      <c r="D58">
        <f>_xlfn.XLOOKUP(A58,'Heartrate Cleaned'!$A$2:$A$251,'Heartrate Cleaned'!$B$2:$B$251,"Not Available")</f>
        <v>180</v>
      </c>
    </row>
    <row r="59" spans="1:4" x14ac:dyDescent="0.3">
      <c r="A59" s="1">
        <v>8877689391</v>
      </c>
      <c r="B59" s="8">
        <v>84.900001525878906</v>
      </c>
      <c r="C59" s="9">
        <v>25.409999847412099</v>
      </c>
      <c r="D59">
        <f>_xlfn.XLOOKUP(A59,'Heartrate Cleaned'!$A$2:$A$251,'Heartrate Cleaned'!$B$2:$B$251,"Not Available")</f>
        <v>180</v>
      </c>
    </row>
    <row r="60" spans="1:4" x14ac:dyDescent="0.3">
      <c r="A60" s="1">
        <v>8877689391</v>
      </c>
      <c r="B60" s="8">
        <v>85.5</v>
      </c>
      <c r="C60" s="9">
        <v>25.590000152587901</v>
      </c>
      <c r="D60">
        <f>_xlfn.XLOOKUP(A60,'Heartrate Cleaned'!$A$2:$A$251,'Heartrate Cleaned'!$B$2:$B$251,"Not Available")</f>
        <v>180</v>
      </c>
    </row>
    <row r="61" spans="1:4" x14ac:dyDescent="0.3">
      <c r="A61" s="1">
        <v>8877689391</v>
      </c>
      <c r="B61" s="8">
        <v>85.300003051757798</v>
      </c>
      <c r="C61" s="9">
        <v>25.530000686645501</v>
      </c>
      <c r="D61">
        <f>_xlfn.XLOOKUP(A61,'Heartrate Cleaned'!$A$2:$A$251,'Heartrate Cleaned'!$B$2:$B$251,"Not Available")</f>
        <v>180</v>
      </c>
    </row>
    <row r="62" spans="1:4" x14ac:dyDescent="0.3">
      <c r="A62" s="1">
        <v>8877689391</v>
      </c>
      <c r="B62" s="8">
        <v>84.900001525878906</v>
      </c>
      <c r="C62" s="9">
        <v>25.409999847412099</v>
      </c>
      <c r="D62">
        <f>_xlfn.XLOOKUP(A62,'Heartrate Cleaned'!$A$2:$A$251,'Heartrate Cleaned'!$B$2:$B$251,"Not Available")</f>
        <v>180</v>
      </c>
    </row>
    <row r="63" spans="1:4" x14ac:dyDescent="0.3">
      <c r="A63" s="1">
        <v>8877689391</v>
      </c>
      <c r="B63" s="8">
        <v>84.400001525878906</v>
      </c>
      <c r="C63" s="9">
        <v>25.2600002288818</v>
      </c>
      <c r="D63">
        <f>_xlfn.XLOOKUP(A63,'Heartrate Cleaned'!$A$2:$A$251,'Heartrate Cleaned'!$B$2:$B$251,"Not Available")</f>
        <v>180</v>
      </c>
    </row>
    <row r="64" spans="1:4" x14ac:dyDescent="0.3">
      <c r="A64" s="1">
        <v>8877689391</v>
      </c>
      <c r="B64" s="8">
        <v>85</v>
      </c>
      <c r="C64" s="9">
        <v>25.440000534057599</v>
      </c>
      <c r="D64">
        <f>_xlfn.XLOOKUP(A64,'Heartrate Cleaned'!$A$2:$A$251,'Heartrate Cleaned'!$B$2:$B$251,"Not Available")</f>
        <v>180</v>
      </c>
    </row>
    <row r="65" spans="1:4" x14ac:dyDescent="0.3">
      <c r="A65" s="1">
        <v>8877689391</v>
      </c>
      <c r="B65" s="8">
        <v>85.400001525878906</v>
      </c>
      <c r="C65" s="9">
        <v>25.559999465942401</v>
      </c>
      <c r="D65">
        <f>_xlfn.XLOOKUP(A65,'Heartrate Cleaned'!$A$2:$A$251,'Heartrate Cleaned'!$B$2:$B$251,"Not Available")</f>
        <v>180</v>
      </c>
    </row>
    <row r="66" spans="1:4" x14ac:dyDescent="0.3">
      <c r="A66" s="1">
        <v>8877689391</v>
      </c>
      <c r="B66" s="8">
        <v>85.5</v>
      </c>
      <c r="C66" s="9">
        <v>25.610000610351602</v>
      </c>
      <c r="D66">
        <f>_xlfn.XLOOKUP(A66,'Heartrate Cleaned'!$A$2:$A$251,'Heartrate Cleaned'!$B$2:$B$251,"Not Available")</f>
        <v>180</v>
      </c>
    </row>
    <row r="67" spans="1:4" x14ac:dyDescent="0.3">
      <c r="A67" s="1">
        <v>8877689391</v>
      </c>
      <c r="B67" s="8">
        <v>85.400001525878906</v>
      </c>
      <c r="C67" s="9">
        <v>25.559999465942401</v>
      </c>
      <c r="D67">
        <f>_xlfn.XLOOKUP(A67,'Heartrate Cleaned'!$A$2:$A$251,'Heartrate Cleaned'!$B$2:$B$251,"Not Available")</f>
        <v>180</v>
      </c>
    </row>
    <row r="68" spans="1:4" x14ac:dyDescent="0.3">
      <c r="A68" s="3">
        <v>8877689391</v>
      </c>
      <c r="B68" s="10">
        <v>84</v>
      </c>
      <c r="C68" s="11">
        <v>25.139999389648398</v>
      </c>
      <c r="D68">
        <f>_xlfn.XLOOKUP(A68,'Heartrate Cleaned'!$A$2:$A$251,'Heartrate Cleaned'!$B$2:$B$251,"Not Available")</f>
        <v>180</v>
      </c>
    </row>
  </sheetData>
  <mergeCells count="2">
    <mergeCell ref="F2:P2"/>
    <mergeCell ref="F3:P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0"/>
  <sheetViews>
    <sheetView workbookViewId="0"/>
  </sheetViews>
  <sheetFormatPr defaultRowHeight="14.4" x14ac:dyDescent="0.3"/>
  <cols>
    <col min="2" max="2" width="13.44140625" bestFit="1" customWidth="1"/>
    <col min="3" max="3" width="11.77734375" bestFit="1" customWidth="1"/>
    <col min="4" max="4" width="12" bestFit="1" customWidth="1"/>
  </cols>
  <sheetData>
    <row r="2" spans="2:3" x14ac:dyDescent="0.3">
      <c r="B2" s="12" t="s">
        <v>5</v>
      </c>
      <c r="C2" t="s">
        <v>4</v>
      </c>
    </row>
    <row r="3" spans="2:3" x14ac:dyDescent="0.3">
      <c r="B3" s="13">
        <v>2873212765</v>
      </c>
      <c r="C3" s="14">
        <v>21.570000648498549</v>
      </c>
    </row>
    <row r="4" spans="2:3" x14ac:dyDescent="0.3">
      <c r="B4" s="13">
        <v>1503960366</v>
      </c>
      <c r="C4" s="14">
        <v>22.649999618530298</v>
      </c>
    </row>
    <row r="5" spans="2:3" x14ac:dyDescent="0.3">
      <c r="B5" s="13">
        <v>6962181067</v>
      </c>
      <c r="C5" s="14">
        <v>24.027999750773112</v>
      </c>
    </row>
    <row r="6" spans="2:3" x14ac:dyDescent="0.3">
      <c r="B6" s="13">
        <v>8877689391</v>
      </c>
      <c r="C6" s="14">
        <v>25.487083355585739</v>
      </c>
    </row>
    <row r="7" spans="2:3" x14ac:dyDescent="0.3">
      <c r="B7" s="13">
        <v>4558609924</v>
      </c>
      <c r="C7" s="14">
        <v>27.213999938964843</v>
      </c>
    </row>
    <row r="8" spans="2:3" x14ac:dyDescent="0.3">
      <c r="B8" s="13">
        <v>4319703577</v>
      </c>
      <c r="C8" s="14">
        <v>27.414999961853049</v>
      </c>
    </row>
    <row r="9" spans="2:3" x14ac:dyDescent="0.3">
      <c r="B9" s="13">
        <v>5577150313</v>
      </c>
      <c r="C9" s="14">
        <v>28</v>
      </c>
    </row>
    <row r="10" spans="2:3" x14ac:dyDescent="0.3">
      <c r="B10" s="13">
        <v>1927972279</v>
      </c>
      <c r="C10" s="14">
        <v>47.540000915527301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826A8-CAD7-411F-91A7-F391E6C8E7DF}">
  <dimension ref="B2:C9"/>
  <sheetViews>
    <sheetView workbookViewId="0"/>
  </sheetViews>
  <sheetFormatPr defaultRowHeight="14.4" x14ac:dyDescent="0.3"/>
  <cols>
    <col min="2" max="2" width="13.44140625" bestFit="1" customWidth="1"/>
    <col min="3" max="3" width="9.33203125" bestFit="1" customWidth="1"/>
  </cols>
  <sheetData>
    <row r="2" spans="2:3" x14ac:dyDescent="0.3">
      <c r="B2" s="12" t="s">
        <v>5</v>
      </c>
      <c r="C2" t="s">
        <v>6</v>
      </c>
    </row>
    <row r="3" spans="2:3" x14ac:dyDescent="0.3">
      <c r="B3" s="13">
        <v>8877689391</v>
      </c>
      <c r="C3">
        <v>180</v>
      </c>
    </row>
    <row r="4" spans="2:3" x14ac:dyDescent="0.3">
      <c r="B4" s="13">
        <v>6962181067</v>
      </c>
      <c r="C4">
        <v>184</v>
      </c>
    </row>
    <row r="5" spans="2:3" x14ac:dyDescent="0.3">
      <c r="B5" s="13">
        <v>6117666160</v>
      </c>
      <c r="C5">
        <v>189</v>
      </c>
    </row>
    <row r="6" spans="2:3" x14ac:dyDescent="0.3">
      <c r="B6" s="13">
        <v>4020332650</v>
      </c>
      <c r="C6">
        <v>191</v>
      </c>
    </row>
    <row r="7" spans="2:3" x14ac:dyDescent="0.3">
      <c r="B7" s="13">
        <v>2347167796</v>
      </c>
      <c r="C7">
        <v>195</v>
      </c>
    </row>
    <row r="8" spans="2:3" x14ac:dyDescent="0.3">
      <c r="B8" s="13">
        <v>4558609924</v>
      </c>
      <c r="C8">
        <v>199</v>
      </c>
    </row>
    <row r="9" spans="2:3" x14ac:dyDescent="0.3">
      <c r="B9" s="13">
        <v>2022484408</v>
      </c>
      <c r="C9">
        <v>203</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8D7277-914B-4E2C-AAE4-8372B12326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Final Solution</vt:lpstr>
      <vt:lpstr>Weight Log Info Cleaned</vt:lpstr>
      <vt:lpstr>Heartrate Cleaned</vt:lpstr>
      <vt:lpstr>Wgt &amp; Heartrate Sheets Combined</vt:lpstr>
      <vt:lpstr>Potential Customers (Weight)</vt:lpstr>
      <vt:lpstr>Potential Customers (Heartbeat)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dc:creator>
  <cp:lastModifiedBy>Deepak Bhatt</cp:lastModifiedBy>
  <dcterms:created xsi:type="dcterms:W3CDTF">2015-06-05T18:17:20Z</dcterms:created>
  <dcterms:modified xsi:type="dcterms:W3CDTF">2024-05-12T06:31:34Z</dcterms:modified>
</cp:coreProperties>
</file>