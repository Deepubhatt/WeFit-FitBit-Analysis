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pivotTables/pivotTable1.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hidePivotFieldList="1"/>
  <mc:AlternateContent xmlns:mc="http://schemas.openxmlformats.org/markup-compatibility/2006">
    <mc:Choice Requires="x15">
      <x15ac:absPath xmlns:x15ac="http://schemas.microsoft.com/office/spreadsheetml/2010/11/ac" url="D:\Data Science\Data Science Course - Internshala\1. Excel\Project\"/>
    </mc:Choice>
  </mc:AlternateContent>
  <xr:revisionPtr revIDLastSave="0" documentId="13_ncr:1_{F4C05C89-B0A6-4583-AC6C-FC35E65C9E53}" xr6:coauthVersionLast="47" xr6:coauthVersionMax="47" xr10:uidLastSave="{00000000-0000-0000-0000-000000000000}"/>
  <bookViews>
    <workbookView xWindow="-108" yWindow="-108" windowWidth="23256" windowHeight="13176" tabRatio="823" xr2:uid="{00000000-000D-0000-FFFF-FFFF00000000}"/>
  </bookViews>
  <sheets>
    <sheet name="Final Solution" sheetId="4" r:id="rId1"/>
    <sheet name="Sleep Day Cleaned" sheetId="2" r:id="rId2"/>
    <sheet name="Analysis" sheetId="1" r:id="rId3"/>
    <sheet name="Customers Count by Categories" sheetId="5" r:id="rId4"/>
  </sheets>
  <definedNames>
    <definedName name="_xlnm._FilterDatabase" localSheetId="2" hidden="1">Analysis!$A$1:$D$25</definedName>
  </definedNames>
  <calcPr calcId="191029"/>
  <pivotCaches>
    <pivotCache cacheId="0"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 i="1" l="1"/>
  <c r="C3" i="1" s="1"/>
  <c r="D3" i="1" s="1"/>
  <c r="B4" i="1"/>
  <c r="C4" i="1" s="1"/>
  <c r="D4" i="1" s="1"/>
  <c r="B5" i="1"/>
  <c r="C5" i="1" s="1"/>
  <c r="D5" i="1" s="1"/>
  <c r="B6" i="1"/>
  <c r="C6" i="1" s="1"/>
  <c r="D6" i="1" s="1"/>
  <c r="B7" i="1"/>
  <c r="C7" i="1" s="1"/>
  <c r="D7" i="1" s="1"/>
  <c r="B8" i="1"/>
  <c r="C8" i="1" s="1"/>
  <c r="D8" i="1" s="1"/>
  <c r="B9" i="1"/>
  <c r="C9" i="1" s="1"/>
  <c r="D9" i="1" s="1"/>
  <c r="B10" i="1"/>
  <c r="C10" i="1" s="1"/>
  <c r="D10" i="1" s="1"/>
  <c r="B11" i="1"/>
  <c r="C11" i="1" s="1"/>
  <c r="D11" i="1" s="1"/>
  <c r="B12" i="1"/>
  <c r="C12" i="1" s="1"/>
  <c r="D12" i="1" s="1"/>
  <c r="B13" i="1"/>
  <c r="C13" i="1" s="1"/>
  <c r="D13" i="1" s="1"/>
  <c r="B14" i="1"/>
  <c r="C14" i="1" s="1"/>
  <c r="D14" i="1" s="1"/>
  <c r="B15" i="1"/>
  <c r="C15" i="1" s="1"/>
  <c r="D15" i="1" s="1"/>
  <c r="B16" i="1"/>
  <c r="C16" i="1" s="1"/>
  <c r="D16" i="1" s="1"/>
  <c r="B17" i="1"/>
  <c r="C17" i="1" s="1"/>
  <c r="D17" i="1" s="1"/>
  <c r="B18" i="1"/>
  <c r="C18" i="1" s="1"/>
  <c r="D18" i="1" s="1"/>
  <c r="B19" i="1"/>
  <c r="C19" i="1" s="1"/>
  <c r="D19" i="1" s="1"/>
  <c r="B20" i="1"/>
  <c r="C20" i="1" s="1"/>
  <c r="D20" i="1" s="1"/>
  <c r="B21" i="1"/>
  <c r="C21" i="1" s="1"/>
  <c r="D21" i="1" s="1"/>
  <c r="B22" i="1"/>
  <c r="C22" i="1" s="1"/>
  <c r="D22" i="1" s="1"/>
  <c r="B23" i="1"/>
  <c r="C23" i="1" s="1"/>
  <c r="D23" i="1" s="1"/>
  <c r="B24" i="1"/>
  <c r="C24" i="1" s="1"/>
  <c r="D24" i="1" s="1"/>
  <c r="B25" i="1"/>
  <c r="C25" i="1" s="1"/>
  <c r="D25" i="1" s="1"/>
  <c r="B2" i="1"/>
  <c r="C2" i="1" s="1"/>
  <c r="D2" i="1" s="1"/>
  <c r="A2" i="1" a="1"/>
  <c r="A2"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A742C06-D0C6-45FD-BDB4-CED7DD5316C2}" keepAlive="1" name="Query - sleepDay_merged" description="Connection to the 'sleepDay_merged' query in the workbook." type="5" refreshedVersion="0" background="1">
    <dbPr connection="Provider=Microsoft.Mashup.OleDb.1;Data Source=$Workbook$;Location=sleepDay_merged;Extended Properties=&quot;&quot;" command="SELECT * FROM [sleepDay_merged]"/>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<sst xmlns="http://schemas.openxmlformats.org/spreadsheetml/2006/main" count="35" uniqueCount="19">
  <si>
    <t>Id</t>
  </si>
  <si>
    <t>TotalMinutesAsleep</t>
  </si>
  <si>
    <t>TotalHoursAsleep</t>
  </si>
  <si>
    <t>Category</t>
  </si>
  <si>
    <t>TotalAvgMinutesAsleep</t>
  </si>
  <si>
    <t>Normal Sleepers</t>
  </si>
  <si>
    <t>Potential Oversleepers</t>
  </si>
  <si>
    <t>Sleep Deprived</t>
  </si>
  <si>
    <t>Categories</t>
  </si>
  <si>
    <t>Count</t>
  </si>
  <si>
    <t>Sleepy-Nights Subscription Plan</t>
  </si>
  <si>
    <t>Which customers are likely to buy the subscription?</t>
  </si>
  <si>
    <r>
      <t xml:space="preserve">We know that sleep needs can vary from person to person, but in general, experts recommend that </t>
    </r>
    <r>
      <rPr>
        <i/>
        <sz val="12.5"/>
        <color theme="1"/>
        <rFont val="Calibri"/>
        <family val="2"/>
        <scheme val="minor"/>
      </rPr>
      <t>healthy adults get an average of 7 to 9 hours per night</t>
    </r>
    <r>
      <rPr>
        <sz val="12.5"/>
        <color theme="1"/>
        <rFont val="Calibri"/>
        <family val="2"/>
        <scheme val="minor"/>
      </rPr>
      <t xml:space="preserve"> of shuteye. If one regularly need </t>
    </r>
    <r>
      <rPr>
        <i/>
        <sz val="12.5"/>
        <color theme="1"/>
        <rFont val="Calibri"/>
        <family val="2"/>
        <scheme val="minor"/>
      </rPr>
      <t>more than 9 hours of sleep per night</t>
    </r>
    <r>
      <rPr>
        <sz val="12.5"/>
        <color theme="1"/>
        <rFont val="Calibri"/>
        <family val="2"/>
        <scheme val="minor"/>
      </rPr>
      <t xml:space="preserve"> to feel rested, it might be a sign of an </t>
    </r>
    <r>
      <rPr>
        <i/>
        <sz val="12.5"/>
        <color theme="1"/>
        <rFont val="Calibri"/>
        <family val="2"/>
        <scheme val="minor"/>
      </rPr>
      <t>underlying problem</t>
    </r>
    <r>
      <rPr>
        <sz val="12.5"/>
        <color theme="1"/>
        <rFont val="Calibri"/>
        <family val="2"/>
        <scheme val="minor"/>
      </rPr>
      <t xml:space="preserve">. Similarly, </t>
    </r>
    <r>
      <rPr>
        <i/>
        <sz val="12.5"/>
        <color theme="1"/>
        <rFont val="Calibri"/>
        <family val="2"/>
        <scheme val="minor"/>
      </rPr>
      <t>Sleep deprivation</t>
    </r>
    <r>
      <rPr>
        <sz val="12.5"/>
        <color theme="1"/>
        <rFont val="Calibri"/>
        <family val="2"/>
        <scheme val="minor"/>
      </rPr>
      <t xml:space="preserve"> is a condition that occurs when one does not get enough sleep </t>
    </r>
    <r>
      <rPr>
        <i/>
        <sz val="12.5"/>
        <color theme="1"/>
        <rFont val="Calibri"/>
        <family val="2"/>
        <scheme val="minor"/>
      </rPr>
      <t>(about less than 7 hours)</t>
    </r>
    <r>
      <rPr>
        <sz val="12.5"/>
        <color theme="1"/>
        <rFont val="Calibri"/>
        <family val="2"/>
        <scheme val="minor"/>
      </rPr>
      <t xml:space="preserve"> or have poor quality sleep.</t>
    </r>
  </si>
  <si>
    <r>
      <t>For my analysis, I have choosen the categories as: Users with less than 7 hours of sleep will be labeled "</t>
    </r>
    <r>
      <rPr>
        <b/>
        <sz val="12.5"/>
        <color theme="4" tint="-0.249977111117893"/>
        <rFont val="Calibri"/>
        <family val="2"/>
        <scheme val="minor"/>
      </rPr>
      <t>Sleep Deprived</t>
    </r>
    <r>
      <rPr>
        <sz val="12.5"/>
        <color theme="1"/>
        <rFont val="Calibri"/>
        <family val="2"/>
        <scheme val="minor"/>
      </rPr>
      <t>", users with more than 9 hours of sleep will be labeled "</t>
    </r>
    <r>
      <rPr>
        <b/>
        <sz val="12.5"/>
        <color theme="4" tint="-0.249977111117893"/>
        <rFont val="Calibri"/>
        <family val="2"/>
        <scheme val="minor"/>
      </rPr>
      <t>Potential Oversleepers</t>
    </r>
    <r>
      <rPr>
        <sz val="12.5"/>
        <color theme="1"/>
        <rFont val="Calibri"/>
        <family val="2"/>
        <scheme val="minor"/>
      </rPr>
      <t>", and at last all those users who sleeps in between 7 and 9 hours are labeled "</t>
    </r>
    <r>
      <rPr>
        <b/>
        <sz val="12.5"/>
        <color theme="0" tint="-0.34998626667073579"/>
        <rFont val="Calibri"/>
        <family val="2"/>
        <scheme val="minor"/>
      </rPr>
      <t>Normal Sleepers</t>
    </r>
    <r>
      <rPr>
        <sz val="12.5"/>
        <color theme="1"/>
        <rFont val="Calibri"/>
        <family val="2"/>
        <scheme val="minor"/>
      </rPr>
      <t>".</t>
    </r>
  </si>
  <si>
    <t>Avg Sleep Hrs</t>
  </si>
  <si>
    <r>
      <t>Both users labeled by "</t>
    </r>
    <r>
      <rPr>
        <sz val="12.5"/>
        <color theme="4" tint="-0.249977111117893"/>
        <rFont val="Calibri"/>
        <family val="2"/>
        <scheme val="minor"/>
      </rPr>
      <t>Sleep Deprived</t>
    </r>
    <r>
      <rPr>
        <sz val="12.5"/>
        <color theme="1"/>
        <rFont val="Calibri"/>
        <family val="2"/>
        <scheme val="minor"/>
      </rPr>
      <t>" and "</t>
    </r>
    <r>
      <rPr>
        <sz val="12.5"/>
        <color theme="4" tint="-0.249977111117893"/>
        <rFont val="Calibri"/>
        <family val="2"/>
        <scheme val="minor"/>
      </rPr>
      <t>Potential Oversleepers</t>
    </r>
    <r>
      <rPr>
        <sz val="12.5"/>
        <color theme="1"/>
        <rFont val="Calibri"/>
        <family val="2"/>
        <scheme val="minor"/>
      </rPr>
      <t xml:space="preserve">" are </t>
    </r>
    <r>
      <rPr>
        <b/>
        <i/>
        <sz val="12.5"/>
        <color theme="1"/>
        <rFont val="Calibri"/>
        <family val="2"/>
        <scheme val="minor"/>
      </rPr>
      <t>Sleepy-Nights Potential Customers</t>
    </r>
    <r>
      <rPr>
        <sz val="12.5"/>
        <color theme="1"/>
        <rFont val="Calibri"/>
        <family val="2"/>
        <scheme val="minor"/>
      </rPr>
      <t>, who can subscribe to their services. Thus, the list of all the customers satisfying this condition are:</t>
    </r>
  </si>
  <si>
    <t>Removed Unnecessary columns in the Power Query. Then Loaded the dataset to Excel and converted the table to range using the "Convert to Range" option from Table Design for easy analysis and reduce the risk of giving Source file errors while submitting, as data would have still be linked to the data source.</t>
  </si>
  <si>
    <r>
      <t xml:space="preserve">Imported the unique Customer Id using the formula: </t>
    </r>
    <r>
      <rPr>
        <sz val="11"/>
        <color rgb="FFC00000"/>
        <rFont val="Calibri"/>
        <family val="2"/>
        <scheme val="minor"/>
      </rPr>
      <t>=UNIQUE('Sleep Day Cleaned'!A2:A414)</t>
    </r>
    <r>
      <rPr>
        <sz val="11"/>
        <rFont val="Calibri"/>
        <family val="2"/>
        <scheme val="minor"/>
      </rPr>
      <t xml:space="preserve">. In a similar way, using the formula </t>
    </r>
    <r>
      <rPr>
        <sz val="11"/>
        <color rgb="FFC00000"/>
        <rFont val="Calibri"/>
        <family val="2"/>
        <scheme val="minor"/>
      </rPr>
      <t>=AVERAGEIF('Sleep Day Cleaned'!$A$2:$B$414,A2,'Sleep Day Cleaned'!$B$2:$B$414)</t>
    </r>
    <r>
      <rPr>
        <sz val="11"/>
        <color theme="1"/>
        <rFont val="Calibri"/>
        <family val="2"/>
        <scheme val="minor"/>
      </rPr>
      <t xml:space="preserve">, imported the Average Total Minutes Asleep column, which calculated the average sleep for every user. Created a new column where I converted the Minutes data from the previous column to Hours, as all my criterias were set for Hours data, using the formula: </t>
    </r>
    <r>
      <rPr>
        <sz val="11"/>
        <color rgb="FFC00000"/>
        <rFont val="Calibri"/>
        <family val="2"/>
        <scheme val="minor"/>
      </rPr>
      <t>=B2/60</t>
    </r>
    <r>
      <rPr>
        <sz val="11"/>
        <color theme="1"/>
        <rFont val="Calibri"/>
        <family val="2"/>
        <scheme val="minor"/>
      </rPr>
      <t xml:space="preserve">. </t>
    </r>
  </si>
  <si>
    <r>
      <t xml:space="preserve">At last, created a new column named "Category" to categorize each user into the 3 defined categories in the "Final Solution" sheet, using the formula: </t>
    </r>
    <r>
      <rPr>
        <b/>
        <sz val="11"/>
        <color rgb="FFC00000"/>
        <rFont val="Calibri"/>
        <family val="2"/>
        <scheme val="minor"/>
      </rPr>
      <t>=IF(C2&lt;7,"Sleep Deprived",IF(C2&gt;9,"Potential Oversleepers","Normal Sleepers"))</t>
    </r>
    <r>
      <rPr>
        <sz val="11"/>
        <color theme="1"/>
        <rFont val="Calibri"/>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</si>
</sst>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Calibri"/>
      <family val="2"/>
      <scheme val="minor"/>
    </font>
    <font>
      <b/>
      <sz val="11"/>
      <color theme="1"/>
      <name val="Calibri"/>
      <family val="2"/>
      <scheme val="minor"/>
    </font>
    <font>
      <b/>
      <sz val="11"/>
      <name val="Calibri"/>
      <family val="2"/>
      <scheme val="minor"/>
    </font>
    <font>
      <b/>
      <sz val="15"/>
      <color theme="3"/>
      <name val="Calibri"/>
      <family val="2"/>
      <scheme val="minor"/>
    </font>
    <font>
      <i/>
      <sz val="11"/>
      <color rgb="FF7F7F7F"/>
      <name val="Calibri"/>
      <family val="2"/>
      <scheme val="minor"/>
    </font>
    <font>
      <sz val="12.5"/>
      <color theme="1"/>
      <name val="Calibri"/>
      <family val="2"/>
      <scheme val="minor"/>
    </font>
    <font>
      <b/>
      <sz val="26"/>
      <color theme="3"/>
      <name val="Calibri"/>
      <family val="2"/>
      <scheme val="minor"/>
    </font>
    <font>
      <i/>
      <sz val="15"/>
      <color rgb="FF7F7F7F"/>
      <name val="Calibri"/>
      <family val="2"/>
      <scheme val="minor"/>
    </font>
    <font>
      <i/>
      <sz val="12.5"/>
      <color theme="1"/>
      <name val="Calibri"/>
      <family val="2"/>
      <scheme val="minor"/>
    </font>
    <font>
      <b/>
      <sz val="12.5"/>
      <color theme="4" tint="-0.249977111117893"/>
      <name val="Calibri"/>
      <family val="2"/>
      <scheme val="minor"/>
    </font>
    <font>
      <sz val="12.5"/>
      <color theme="4" tint="-0.249977111117893"/>
      <name val="Calibri"/>
      <family val="2"/>
      <scheme val="minor"/>
    </font>
    <font>
      <b/>
      <sz val="12.5"/>
      <color theme="0" tint="-0.34998626667073579"/>
      <name val="Calibri"/>
      <family val="2"/>
      <scheme val="minor"/>
    </font>
    <font>
      <sz val="11"/>
      <color theme="4" tint="-0.249977111117893"/>
      <name val="Calibri"/>
      <family val="2"/>
      <scheme val="minor"/>
    </font>
    <font>
      <sz val="11"/>
      <color theme="4" tint="0.39997558519241921"/>
      <name val="Calibri"/>
      <family val="2"/>
      <scheme val="minor"/>
    </font>
    <font>
      <b/>
      <i/>
      <sz val="12.5"/>
      <color theme="1"/>
      <name val="Calibri"/>
      <family val="2"/>
      <scheme val="minor"/>
    </font>
    <font>
      <sz val="11"/>
      <name val="Calibri"/>
      <family val="2"/>
      <scheme val="minor"/>
    </font>
    <font>
      <sz val="11"/>
      <color rgb="FFC00000"/>
      <name val="Calibri"/>
      <family val="2"/>
      <scheme val="minor"/>
    </font>
    <font>
      <b/>
      <sz val="11"/>
      <color rgb="FFC00000"/>
      <name val="Calibri"/>
      <family val="2"/>
      <scheme val="minor"/>
    </font>
  </fonts>
  <fills count="2">
    <fill>
      <patternFill patternType="none"/>
    </fill>
    <fill>
      <patternFill patternType="gray125"/>
    </fill>
  </fills>
  <borders count="14">
    <border>
      <left/>
      <right/>
      <top/>
      <bottom/>
      <diagonal/>
    </border>
    <border>
      <left/>
      <right/>
      <top/>
      <bottom style="thick">
        <color theme="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s>
  <cellStyleXfs count="3">
    <xf numFmtId="0" fontId="0" fillId="0" borderId="0"/>
    <xf numFmtId="0" fontId="3" fillId="0" borderId="1" applyNumberFormat="0" applyFill="0" applyAlignment="0" applyProtection="0"/>
    <xf numFmtId="0" fontId="4" fillId="0" borderId="0" applyNumberFormat="0" applyFill="0" applyBorder="0" applyAlignment="0" applyProtection="0"/>
  </cellStyleXfs>
  <cellXfs count="37">
    <xf numFmtId="0" fontId="0" fillId="0" borderId="0" xfId="0"/>
    <xf numFmtId="0" fontId="0" fillId="0" borderId="0" xfId="0" pivotButton="1"/>
    <xf numFmtId="0" fontId="0" fillId="0" borderId="0" xfId="0" applyAlignment="1">
      <alignment horizontal="left"/>
    </xf>
    <xf numFmtId="0" fontId="5" fillId="0" borderId="0" xfId="0" applyFont="1" applyAlignment="1">
      <alignment vertical="center" wrapText="1"/>
    </xf>
    <xf numFmtId="0" fontId="1" fillId="0" borderId="2" xfId="0" applyFont="1" applyBorder="1" applyAlignment="1">
      <alignment horizontal="center" vertical="center"/>
    </xf>
    <xf numFmtId="0" fontId="1" fillId="0" borderId="5" xfId="0" applyFont="1"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13" fillId="0" borderId="3" xfId="0" applyFont="1" applyBorder="1" applyAlignment="1">
      <alignment horizontal="center" vertical="center"/>
    </xf>
    <xf numFmtId="0" fontId="6" fillId="0" borderId="1" xfId="1" applyFont="1" applyAlignment="1">
      <alignment horizontal="center" vertical="center"/>
    </xf>
    <xf numFmtId="0" fontId="7" fillId="0" borderId="0" xfId="2" applyFont="1" applyAlignment="1">
      <alignment horizontal="left" vertical="center"/>
    </xf>
    <xf numFmtId="0" fontId="5" fillId="0" borderId="0" xfId="0" applyFont="1" applyAlignment="1">
      <alignment horizontal="left" vertical="center" wrapText="1"/>
    </xf>
    <xf numFmtId="0" fontId="0" fillId="0" borderId="8" xfId="0" applyBorder="1" applyAlignment="1">
      <alignment horizontal="center" wrapText="1"/>
    </xf>
    <xf numFmtId="0" fontId="0" fillId="0" borderId="9" xfId="0" applyBorder="1" applyAlignment="1">
      <alignment horizontal="center" wrapText="1"/>
    </xf>
    <xf numFmtId="0" fontId="0" fillId="0" borderId="10" xfId="0" applyBorder="1" applyAlignment="1">
      <alignment horizontal="center" wrapText="1"/>
    </xf>
    <xf numFmtId="0" fontId="0" fillId="0" borderId="11" xfId="0" applyBorder="1" applyAlignment="1">
      <alignment horizontal="center" wrapText="1"/>
    </xf>
    <xf numFmtId="0" fontId="0" fillId="0" borderId="12" xfId="0" applyBorder="1" applyAlignment="1">
      <alignment horizontal="center" wrapText="1"/>
    </xf>
    <xf numFmtId="0" fontId="0" fillId="0" borderId="4" xfId="0" applyBorder="1" applyAlignment="1">
      <alignment horizont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0" fillId="0" borderId="13" xfId="0" applyBorder="1" applyAlignment="1">
      <alignment horizontal="center" vertical="center" wrapText="1"/>
    </xf>
    <xf numFmtId="0" fontId="0" fillId="0" borderId="0" xfId="0" applyBorder="1" applyAlignment="1">
      <alignment horizontal="center" vertical="center" wrapText="1"/>
    </xf>
    <xf numFmtId="0" fontId="0" fillId="0" borderId="3" xfId="0" applyBorder="1" applyAlignment="1">
      <alignment horizontal="center" vertical="center" wrapText="1"/>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0" fillId="0" borderId="4" xfId="0" applyBorder="1" applyAlignment="1">
      <alignment horizontal="center" vertical="center" wrapText="1"/>
    </xf>
    <xf numFmtId="0" fontId="0" fillId="0" borderId="0" xfId="0" applyBorder="1"/>
    <xf numFmtId="0" fontId="0" fillId="0" borderId="3" xfId="0" applyBorder="1"/>
    <xf numFmtId="0" fontId="0" fillId="0" borderId="4" xfId="0" applyBorder="1"/>
    <xf numFmtId="0" fontId="1" fillId="0" borderId="5" xfId="0" applyFont="1" applyBorder="1" applyAlignment="1">
      <alignment horizontal="center"/>
    </xf>
    <xf numFmtId="0" fontId="1" fillId="0" borderId="2" xfId="0" applyFont="1" applyBorder="1" applyAlignment="1">
      <alignment horizontal="center"/>
    </xf>
    <xf numFmtId="0" fontId="0" fillId="0" borderId="6" xfId="0" applyBorder="1"/>
    <xf numFmtId="0" fontId="0" fillId="0" borderId="7" xfId="0" applyBorder="1"/>
    <xf numFmtId="0" fontId="2" fillId="0" borderId="0" xfId="0" applyFont="1" applyBorder="1"/>
  </cellXfs>
  <cellStyles count="3">
    <cellStyle name="Explanatory Text" xfId="2" builtinId="53"/>
    <cellStyle name="Heading 1" xfId="1" builtinId="16"/>
    <cellStyle name="Normal" xfId="0" builtinId="0"/>
  </cellStyles>
  <dxfs count="0"/>
  <tableStyles count="1" defaultTableStyle="TableStyleMedium2" defaultPivotStyle="PivotStyleLight16">
    <tableStyle name="Invisible" pivot="0" table="0" count="0" xr9:uid="{3CE1687F-F520-4580-B12F-9353F369B7C7}"/>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3. Sleepy-Nights Analysis.xlsx]Customers Count by Categories!PivotTable2</c:name>
    <c:fmtId val="3"/>
  </c:pivotSource>
  <c:chart>
    <c:title>
      <c:tx>
        <c:rich>
          <a:bodyPr rot="0" spcFirstLastPara="1" vertOverflow="ellipsis" vert="horz" wrap="square" anchor="ctr" anchorCtr="1"/>
          <a:lstStyle/>
          <a:p>
            <a:pPr>
              <a:defRPr sz="2000" b="1" i="0" u="none" strike="noStrike" kern="1200" spc="0" baseline="0">
                <a:solidFill>
                  <a:schemeClr val="bg2">
                    <a:lumMod val="50000"/>
                  </a:schemeClr>
                </a:solidFill>
                <a:latin typeface="+mn-lt"/>
                <a:ea typeface="+mn-ea"/>
                <a:cs typeface="+mn-cs"/>
              </a:defRPr>
            </a:pPr>
            <a:r>
              <a:rPr lang="en-US" sz="2000" b="1">
                <a:solidFill>
                  <a:schemeClr val="bg2">
                    <a:lumMod val="50000"/>
                  </a:schemeClr>
                </a:solidFill>
                <a:latin typeface="+mn-lt"/>
              </a:rPr>
              <a:t>Potential Customers with Sleep Problems</a:t>
            </a:r>
          </a:p>
        </c:rich>
      </c:tx>
      <c:layout>
        <c:manualLayout>
          <c:xMode val="edge"/>
          <c:yMode val="edge"/>
          <c:x val="2.541622208203205E-2"/>
          <c:y val="1.8115942028985508E-2"/>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bg2">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a:noFill/>
          </a:ln>
          <a:effectLst/>
        </c:spPr>
      </c:pivotFmt>
      <c:pivotFmt>
        <c:idx val="2"/>
        <c:spPr>
          <a:solidFill>
            <a:schemeClr val="accent1">
              <a:lumMod val="75000"/>
            </a:schemeClr>
          </a:solidFill>
          <a:ln>
            <a:noFill/>
          </a:ln>
          <a:effectLst/>
        </c:spPr>
      </c:pivotFmt>
      <c:pivotFmt>
        <c:idx val="3"/>
        <c:spPr>
          <a:solidFill>
            <a:schemeClr val="bg1">
              <a:lumMod val="65000"/>
            </a:schemeClr>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65000"/>
            </a:schemeClr>
          </a:solidFill>
          <a:ln>
            <a:noFill/>
          </a:ln>
          <a:effectLst/>
        </c:spPr>
      </c:pivotFmt>
      <c:pivotFmt>
        <c:idx val="6"/>
        <c:spPr>
          <a:solidFill>
            <a:schemeClr val="accent1">
              <a:lumMod val="75000"/>
            </a:schemeClr>
          </a:solidFill>
          <a:ln>
            <a:noFill/>
          </a:ln>
          <a:effectLst/>
        </c:spPr>
      </c:pivotFmt>
      <c:pivotFmt>
        <c:idx val="7"/>
        <c:spPr>
          <a:solidFill>
            <a:schemeClr val="accent1">
              <a:lumMod val="75000"/>
            </a:schemeClr>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bg1">
              <a:lumMod val="65000"/>
            </a:schemeClr>
          </a:solidFill>
          <a:ln>
            <a:noFill/>
          </a:ln>
          <a:effectLst/>
        </c:spPr>
      </c:pivotFmt>
      <c:pivotFmt>
        <c:idx val="10"/>
        <c:spPr>
          <a:solidFill>
            <a:schemeClr val="accent1">
              <a:lumMod val="75000"/>
            </a:schemeClr>
          </a:solidFill>
          <a:ln>
            <a:noFill/>
          </a:ln>
          <a:effectLst/>
        </c:spPr>
      </c:pivotFmt>
      <c:pivotFmt>
        <c:idx val="11"/>
        <c:spPr>
          <a:solidFill>
            <a:schemeClr val="accent1">
              <a:lumMod val="75000"/>
            </a:schemeClr>
          </a:solidFill>
          <a:ln>
            <a:noFill/>
          </a:ln>
          <a:effectLst/>
        </c:spPr>
      </c:pivotFmt>
    </c:pivotFmts>
    <c:plotArea>
      <c:layout>
        <c:manualLayout>
          <c:layoutTarget val="inner"/>
          <c:xMode val="edge"/>
          <c:yMode val="edge"/>
          <c:x val="6.4671743476601151E-2"/>
          <c:y val="0.18112352891372449"/>
          <c:w val="0.90537564480997734"/>
          <c:h val="0.70139887405378676"/>
        </c:manualLayout>
      </c:layout>
      <c:barChart>
        <c:barDir val="col"/>
        <c:grouping val="clustered"/>
        <c:varyColors val="0"/>
        <c:ser>
          <c:idx val="0"/>
          <c:order val="0"/>
          <c:tx>
            <c:strRef>
              <c:f>'Customers Count by Categories'!$B$3</c:f>
              <c:strCache>
                <c:ptCount val="1"/>
                <c:pt idx="0">
                  <c:v>Total</c:v>
                </c:pt>
              </c:strCache>
            </c:strRef>
          </c:tx>
          <c:spPr>
            <a:solidFill>
              <a:schemeClr val="accent1"/>
            </a:solidFill>
            <a:ln>
              <a:noFill/>
            </a:ln>
            <a:effectLst/>
          </c:spPr>
          <c:invertIfNegative val="0"/>
          <c:dPt>
            <c:idx val="0"/>
            <c:invertIfNegative val="0"/>
            <c:bubble3D val="0"/>
            <c:spPr>
              <a:solidFill>
                <a:schemeClr val="bg1">
                  <a:lumMod val="65000"/>
                </a:schemeClr>
              </a:solidFill>
              <a:ln>
                <a:noFill/>
              </a:ln>
              <a:effectLst/>
            </c:spPr>
            <c:extLst>
              <c:ext xmlns:c16="http://schemas.microsoft.com/office/drawing/2014/chart" uri="{C3380CC4-5D6E-409C-BE32-E72D297353CC}">
                <c16:uniqueId val="{00000001-95D0-4349-9368-FE3C0214D9F0}"/>
              </c:ext>
            </c:extLst>
          </c:dPt>
          <c:dPt>
            <c:idx val="1"/>
            <c:invertIfNegative val="0"/>
            <c:bubble3D val="0"/>
            <c:spPr>
              <a:solidFill>
                <a:schemeClr val="accent1">
                  <a:lumMod val="75000"/>
                </a:schemeClr>
              </a:solidFill>
              <a:ln>
                <a:noFill/>
              </a:ln>
              <a:effectLst/>
            </c:spPr>
            <c:extLst>
              <c:ext xmlns:c16="http://schemas.microsoft.com/office/drawing/2014/chart" uri="{C3380CC4-5D6E-409C-BE32-E72D297353CC}">
                <c16:uniqueId val="{00000003-95D0-4349-9368-FE3C0214D9F0}"/>
              </c:ext>
            </c:extLst>
          </c:dPt>
          <c:dPt>
            <c:idx val="2"/>
            <c:invertIfNegative val="0"/>
            <c:bubble3D val="0"/>
            <c:spPr>
              <a:solidFill>
                <a:schemeClr val="accent1">
                  <a:lumMod val="75000"/>
                </a:schemeClr>
              </a:solidFill>
              <a:ln>
                <a:noFill/>
              </a:ln>
              <a:effectLst/>
            </c:spPr>
            <c:extLst>
              <c:ext xmlns:c16="http://schemas.microsoft.com/office/drawing/2014/chart" uri="{C3380CC4-5D6E-409C-BE32-E72D297353CC}">
                <c16:uniqueId val="{00000005-95D0-4349-9368-FE3C0214D9F0}"/>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'Customers Count by Categories'!$A$4:$A$6</c:f>
              <c:strCache>
                <c:ptCount val="3"/>
                <c:pt idx="0">
                  <c:v>Normal Sleepers</c:v>
                </c:pt>
                <c:pt idx="1">
                  <c:v>Potential Oversleepers</c:v>
                </c:pt>
                <c:pt idx="2">
                  <c:v>Sleep Deprived</c:v>
                </c:pt>
              </c:strCache>
            </c:strRef>
          </c:cat>
          <c:val>
            <c:numRef>
              <c:f>'Customers Count by Categories'!$B$4:$B$6</c:f>
              <c:numCache>
                <c:formatCode>General</c:formatCode>
                <c:ptCount val="3"/>
                <c:pt idx="0">
                  <c:v>11</c:v>
                </c:pt>
                <c:pt idx="1">
                  <c:v>1</c:v>
                </c:pt>
                <c:pt idx="2">
                  <c:v>12</c:v>
                </c:pt>
              </c:numCache>
            </c:numRef>
          </c:val>
          <c:extLst>
            <c:ext xmlns:c16="http://schemas.microsoft.com/office/drawing/2014/chart" uri="{C3380CC4-5D6E-409C-BE32-E72D297353CC}">
              <c16:uniqueId val="{00000006-95D0-4349-9368-FE3C0214D9F0}"/>
            </c:ext>
          </c:extLst>
        </c:ser>
        <c:dLbls>
          <c:dLblPos val="outEnd"/>
          <c:showLegendKey val="0"/>
          <c:showVal val="1"/>
          <c:showCatName val="0"/>
          <c:showSerName val="0"/>
          <c:showPercent val="0"/>
          <c:showBubbleSize val="0"/>
        </c:dLbls>
        <c:gapWidth val="219"/>
        <c:overlap val="-27"/>
        <c:axId val="2037769696"/>
        <c:axId val="2037771616"/>
      </c:barChart>
      <c:catAx>
        <c:axId val="2037769696"/>
        <c:scaling>
          <c:orientation val="minMax"/>
        </c:scaling>
        <c:delete val="0"/>
        <c:axPos val="b"/>
        <c:title>
          <c:tx>
            <c:rich>
              <a:bodyPr rot="0" spcFirstLastPara="1" vertOverflow="ellipsis" vert="horz" wrap="square" anchor="ctr" anchorCtr="1"/>
              <a:lstStyle/>
              <a:p>
                <a:pPr>
                  <a:defRPr sz="1100" b="1" i="0" u="none" strike="noStrike" kern="1200" baseline="0">
                    <a:solidFill>
                      <a:schemeClr val="bg2">
                        <a:lumMod val="50000"/>
                      </a:schemeClr>
                    </a:solidFill>
                    <a:latin typeface="+mn-lt"/>
                    <a:ea typeface="+mn-ea"/>
                    <a:cs typeface="+mn-cs"/>
                  </a:defRPr>
                </a:pPr>
                <a:r>
                  <a:rPr lang="en-US" sz="1100" b="1">
                    <a:solidFill>
                      <a:schemeClr val="bg2">
                        <a:lumMod val="50000"/>
                      </a:schemeClr>
                    </a:solidFill>
                  </a:rPr>
                  <a:t>Categories</a:t>
                </a:r>
              </a:p>
            </c:rich>
          </c:tx>
          <c:overlay val="0"/>
          <c:spPr>
            <a:noFill/>
            <a:ln>
              <a:noFill/>
            </a:ln>
            <a:effectLst/>
          </c:spPr>
          <c:txPr>
            <a:bodyPr rot="0" spcFirstLastPara="1" vertOverflow="ellipsis" vert="horz" wrap="square" anchor="ctr" anchorCtr="1"/>
            <a:lstStyle/>
            <a:p>
              <a:pPr>
                <a:defRPr sz="1100" b="1" i="0" u="none" strike="noStrike" kern="1200" baseline="0">
                  <a:solidFill>
                    <a:schemeClr val="bg2">
                      <a:lumMod val="50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bg2">
                    <a:lumMod val="50000"/>
                  </a:schemeClr>
                </a:solidFill>
                <a:latin typeface="+mn-lt"/>
                <a:ea typeface="+mn-ea"/>
                <a:cs typeface="+mn-cs"/>
              </a:defRPr>
            </a:pPr>
            <a:endParaRPr lang="en-US"/>
          </a:p>
        </c:txPr>
        <c:crossAx val="2037771616"/>
        <c:crosses val="autoZero"/>
        <c:auto val="1"/>
        <c:lblAlgn val="ctr"/>
        <c:lblOffset val="100"/>
        <c:noMultiLvlLbl val="0"/>
      </c:catAx>
      <c:valAx>
        <c:axId val="2037771616"/>
        <c:scaling>
          <c:orientation val="minMax"/>
          <c:max val="13"/>
          <c:min val="0"/>
        </c:scaling>
        <c:delete val="0"/>
        <c:axPos val="l"/>
        <c:title>
          <c:tx>
            <c:rich>
              <a:bodyPr rot="-5400000" spcFirstLastPara="1" vertOverflow="ellipsis" vert="horz" wrap="square" anchor="ctr" anchorCtr="1"/>
              <a:lstStyle/>
              <a:p>
                <a:pPr>
                  <a:defRPr sz="1100" b="1" i="0" u="none" strike="noStrike" kern="1200" baseline="0">
                    <a:solidFill>
                      <a:schemeClr val="bg2">
                        <a:lumMod val="50000"/>
                      </a:schemeClr>
                    </a:solidFill>
                    <a:latin typeface="+mn-lt"/>
                    <a:ea typeface="+mn-ea"/>
                    <a:cs typeface="+mn-cs"/>
                  </a:defRPr>
                </a:pPr>
                <a:r>
                  <a:rPr lang="en-US" sz="1100" b="1">
                    <a:solidFill>
                      <a:schemeClr val="bg2">
                        <a:lumMod val="50000"/>
                      </a:schemeClr>
                    </a:solidFill>
                  </a:rPr>
                  <a:t>User Count</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bg2">
                      <a:lumMod val="50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77696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3. Sleepy-Nights Analysis.xlsx]Customers Count by Categories!PivotTable2</c:name>
    <c:fmtId val="0"/>
  </c:pivotSource>
  <c:chart>
    <c:title>
      <c:tx>
        <c:rich>
          <a:bodyPr rot="0" spcFirstLastPara="1" vertOverflow="ellipsis" vert="horz" wrap="square" anchor="ctr" anchorCtr="1"/>
          <a:lstStyle/>
          <a:p>
            <a:pPr>
              <a:defRPr sz="2000" b="1" i="0" u="none" strike="noStrike" kern="1200" spc="0" baseline="0">
                <a:solidFill>
                  <a:schemeClr val="bg2">
                    <a:lumMod val="50000"/>
                  </a:schemeClr>
                </a:solidFill>
                <a:latin typeface="+mn-lt"/>
                <a:ea typeface="+mn-ea"/>
                <a:cs typeface="+mn-cs"/>
              </a:defRPr>
            </a:pPr>
            <a:r>
              <a:rPr lang="en-US" sz="2000" b="1">
                <a:solidFill>
                  <a:schemeClr val="bg2">
                    <a:lumMod val="50000"/>
                  </a:schemeClr>
                </a:solidFill>
                <a:latin typeface="+mn-lt"/>
              </a:rPr>
              <a:t>Potential Customers with Sleep Problems</a:t>
            </a:r>
          </a:p>
        </c:rich>
      </c:tx>
      <c:layout>
        <c:manualLayout>
          <c:xMode val="edge"/>
          <c:yMode val="edge"/>
          <c:x val="2.541622208203205E-2"/>
          <c:y val="1.8115942028985508E-2"/>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bg2">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a:noFill/>
          </a:ln>
          <a:effectLst/>
        </c:spPr>
      </c:pivotFmt>
      <c:pivotFmt>
        <c:idx val="2"/>
        <c:spPr>
          <a:solidFill>
            <a:schemeClr val="accent1">
              <a:lumMod val="75000"/>
            </a:schemeClr>
          </a:solidFill>
          <a:ln>
            <a:noFill/>
          </a:ln>
          <a:effectLst/>
        </c:spPr>
      </c:pivotFmt>
      <c:pivotFmt>
        <c:idx val="3"/>
        <c:spPr>
          <a:solidFill>
            <a:schemeClr val="bg1">
              <a:lumMod val="65000"/>
            </a:schemeClr>
          </a:solidFill>
          <a:ln>
            <a:noFill/>
          </a:ln>
          <a:effectLst/>
        </c:spPr>
      </c:pivotFmt>
    </c:pivotFmts>
    <c:plotArea>
      <c:layout>
        <c:manualLayout>
          <c:layoutTarget val="inner"/>
          <c:xMode val="edge"/>
          <c:yMode val="edge"/>
          <c:x val="6.3302231879768744E-2"/>
          <c:y val="0.20958647152801552"/>
          <c:w val="0.90537564480997734"/>
          <c:h val="0.70139887405378676"/>
        </c:manualLayout>
      </c:layout>
      <c:barChart>
        <c:barDir val="col"/>
        <c:grouping val="clustered"/>
        <c:varyColors val="0"/>
        <c:ser>
          <c:idx val="0"/>
          <c:order val="0"/>
          <c:tx>
            <c:strRef>
              <c:f>'Customers Count by Categories'!$B$3</c:f>
              <c:strCache>
                <c:ptCount val="1"/>
                <c:pt idx="0">
                  <c:v>Total</c:v>
                </c:pt>
              </c:strCache>
            </c:strRef>
          </c:tx>
          <c:spPr>
            <a:solidFill>
              <a:schemeClr val="accent1"/>
            </a:solidFill>
            <a:ln>
              <a:noFill/>
            </a:ln>
            <a:effectLst/>
          </c:spPr>
          <c:invertIfNegative val="0"/>
          <c:dPt>
            <c:idx val="0"/>
            <c:invertIfNegative val="0"/>
            <c:bubble3D val="0"/>
            <c:spPr>
              <a:solidFill>
                <a:schemeClr val="bg1">
                  <a:lumMod val="65000"/>
                </a:schemeClr>
              </a:solidFill>
              <a:ln>
                <a:noFill/>
              </a:ln>
              <a:effectLst/>
            </c:spPr>
            <c:extLst>
              <c:ext xmlns:c16="http://schemas.microsoft.com/office/drawing/2014/chart" uri="{C3380CC4-5D6E-409C-BE32-E72D297353CC}">
                <c16:uniqueId val="{00000004-EA10-43F2-80ED-19FB71A4DCB6}"/>
              </c:ext>
            </c:extLst>
          </c:dPt>
          <c:dPt>
            <c:idx val="1"/>
            <c:invertIfNegative val="0"/>
            <c:bubble3D val="0"/>
            <c:spPr>
              <a:solidFill>
                <a:schemeClr val="accent1">
                  <a:lumMod val="75000"/>
                </a:schemeClr>
              </a:solidFill>
              <a:ln>
                <a:noFill/>
              </a:ln>
              <a:effectLst/>
            </c:spPr>
            <c:extLst>
              <c:ext xmlns:c16="http://schemas.microsoft.com/office/drawing/2014/chart" uri="{C3380CC4-5D6E-409C-BE32-E72D297353CC}">
                <c16:uniqueId val="{00000002-EA10-43F2-80ED-19FB71A4DCB6}"/>
              </c:ext>
            </c:extLst>
          </c:dPt>
          <c:dPt>
            <c:idx val="2"/>
            <c:invertIfNegative val="0"/>
            <c:bubble3D val="0"/>
            <c:spPr>
              <a:solidFill>
                <a:schemeClr val="accent1">
                  <a:lumMod val="75000"/>
                </a:schemeClr>
              </a:solidFill>
              <a:ln>
                <a:noFill/>
              </a:ln>
              <a:effectLst/>
            </c:spPr>
            <c:extLst>
              <c:ext xmlns:c16="http://schemas.microsoft.com/office/drawing/2014/chart" uri="{C3380CC4-5D6E-409C-BE32-E72D297353CC}">
                <c16:uniqueId val="{00000003-EA10-43F2-80ED-19FB71A4DCB6}"/>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'Customers Count by Categories'!$A$4:$A$6</c:f>
              <c:strCache>
                <c:ptCount val="3"/>
                <c:pt idx="0">
                  <c:v>Normal Sleepers</c:v>
                </c:pt>
                <c:pt idx="1">
                  <c:v>Potential Oversleepers</c:v>
                </c:pt>
                <c:pt idx="2">
                  <c:v>Sleep Deprived</c:v>
                </c:pt>
              </c:strCache>
            </c:strRef>
          </c:cat>
          <c:val>
            <c:numRef>
              <c:f>'Customers Count by Categories'!$B$4:$B$6</c:f>
              <c:numCache>
                <c:formatCode>General</c:formatCode>
                <c:ptCount val="3"/>
                <c:pt idx="0">
                  <c:v>11</c:v>
                </c:pt>
                <c:pt idx="1">
                  <c:v>1</c:v>
                </c:pt>
                <c:pt idx="2">
                  <c:v>12</c:v>
                </c:pt>
              </c:numCache>
            </c:numRef>
          </c:val>
          <c:extLst>
            <c:ext xmlns:c16="http://schemas.microsoft.com/office/drawing/2014/chart" uri="{C3380CC4-5D6E-409C-BE32-E72D297353CC}">
              <c16:uniqueId val="{00000000-EA10-43F2-80ED-19FB71A4DCB6}"/>
            </c:ext>
          </c:extLst>
        </c:ser>
        <c:dLbls>
          <c:dLblPos val="outEnd"/>
          <c:showLegendKey val="0"/>
          <c:showVal val="1"/>
          <c:showCatName val="0"/>
          <c:showSerName val="0"/>
          <c:showPercent val="0"/>
          <c:showBubbleSize val="0"/>
        </c:dLbls>
        <c:gapWidth val="219"/>
        <c:overlap val="-27"/>
        <c:axId val="2037769696"/>
        <c:axId val="2037771616"/>
      </c:barChart>
      <c:catAx>
        <c:axId val="2037769696"/>
        <c:scaling>
          <c:orientation val="minMax"/>
        </c:scaling>
        <c:delete val="0"/>
        <c:axPos val="b"/>
        <c:title>
          <c:tx>
            <c:rich>
              <a:bodyPr rot="0" spcFirstLastPara="1" vertOverflow="ellipsis" vert="horz" wrap="square" anchor="ctr" anchorCtr="1"/>
              <a:lstStyle/>
              <a:p>
                <a:pPr>
                  <a:defRPr sz="1100" b="1" i="0" u="none" strike="noStrike" kern="1200" baseline="0">
                    <a:solidFill>
                      <a:schemeClr val="bg2">
                        <a:lumMod val="50000"/>
                      </a:schemeClr>
                    </a:solidFill>
                    <a:latin typeface="+mn-lt"/>
                    <a:ea typeface="+mn-ea"/>
                    <a:cs typeface="+mn-cs"/>
                  </a:defRPr>
                </a:pPr>
                <a:r>
                  <a:rPr lang="en-US" sz="1100" b="1">
                    <a:solidFill>
                      <a:schemeClr val="bg2">
                        <a:lumMod val="50000"/>
                      </a:schemeClr>
                    </a:solidFill>
                  </a:rPr>
                  <a:t>Categories</a:t>
                </a:r>
              </a:p>
            </c:rich>
          </c:tx>
          <c:overlay val="0"/>
          <c:spPr>
            <a:noFill/>
            <a:ln>
              <a:noFill/>
            </a:ln>
            <a:effectLst/>
          </c:spPr>
          <c:txPr>
            <a:bodyPr rot="0" spcFirstLastPara="1" vertOverflow="ellipsis" vert="horz" wrap="square" anchor="ctr" anchorCtr="1"/>
            <a:lstStyle/>
            <a:p>
              <a:pPr>
                <a:defRPr sz="1100" b="1" i="0" u="none" strike="noStrike" kern="1200" baseline="0">
                  <a:solidFill>
                    <a:schemeClr val="bg2">
                      <a:lumMod val="50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bg2">
                    <a:lumMod val="50000"/>
                  </a:schemeClr>
                </a:solidFill>
                <a:latin typeface="+mn-lt"/>
                <a:ea typeface="+mn-ea"/>
                <a:cs typeface="+mn-cs"/>
              </a:defRPr>
            </a:pPr>
            <a:endParaRPr lang="en-US"/>
          </a:p>
        </c:txPr>
        <c:crossAx val="2037771616"/>
        <c:crosses val="autoZero"/>
        <c:auto val="1"/>
        <c:lblAlgn val="ctr"/>
        <c:lblOffset val="100"/>
        <c:noMultiLvlLbl val="0"/>
      </c:catAx>
      <c:valAx>
        <c:axId val="2037771616"/>
        <c:scaling>
          <c:orientation val="minMax"/>
          <c:max val="13"/>
        </c:scaling>
        <c:delete val="0"/>
        <c:axPos val="l"/>
        <c:title>
          <c:tx>
            <c:rich>
              <a:bodyPr rot="-5400000" spcFirstLastPara="1" vertOverflow="ellipsis" vert="horz" wrap="square" anchor="ctr" anchorCtr="1"/>
              <a:lstStyle/>
              <a:p>
                <a:pPr>
                  <a:defRPr sz="1100" b="1" i="0" u="none" strike="noStrike" kern="1200" baseline="0">
                    <a:solidFill>
                      <a:schemeClr val="bg2">
                        <a:lumMod val="50000"/>
                      </a:schemeClr>
                    </a:solidFill>
                    <a:latin typeface="+mn-lt"/>
                    <a:ea typeface="+mn-ea"/>
                    <a:cs typeface="+mn-cs"/>
                  </a:defRPr>
                </a:pPr>
                <a:r>
                  <a:rPr lang="en-US" sz="1100" b="1">
                    <a:solidFill>
                      <a:schemeClr val="bg2">
                        <a:lumMod val="50000"/>
                      </a:schemeClr>
                    </a:solidFill>
                  </a:rPr>
                  <a:t>User Count</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bg2">
                      <a:lumMod val="50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77696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5</xdr:col>
      <xdr:colOff>0</xdr:colOff>
      <xdr:row>15</xdr:row>
      <xdr:rowOff>0</xdr:rowOff>
    </xdr:from>
    <xdr:to>
      <xdr:col>20</xdr:col>
      <xdr:colOff>7620</xdr:colOff>
      <xdr:row>36</xdr:row>
      <xdr:rowOff>175260</xdr:rowOff>
    </xdr:to>
    <xdr:graphicFrame macro="">
      <xdr:nvGraphicFramePr>
        <xdr:cNvPr id="2" name="Chart 1">
          <a:extLst>
            <a:ext uri="{FF2B5EF4-FFF2-40B4-BE49-F238E27FC236}">
              <a16:creationId xmlns:a16="http://schemas.microsoft.com/office/drawing/2014/main" id="{B8635D87-2BE3-4E53-8575-3347EC5C48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0.01945</cdr:x>
      <cdr:y>0.09179</cdr:y>
    </cdr:from>
    <cdr:to>
      <cdr:x>0.88526</cdr:x>
      <cdr:y>0.15989</cdr:y>
    </cdr:to>
    <cdr:sp macro="" textlink="">
      <cdr:nvSpPr>
        <cdr:cNvPr id="2" name="TextBox 1">
          <a:extLst xmlns:a="http://schemas.openxmlformats.org/drawingml/2006/main">
            <a:ext uri="{FF2B5EF4-FFF2-40B4-BE49-F238E27FC236}">
              <a16:creationId xmlns:a16="http://schemas.microsoft.com/office/drawing/2014/main" id="{4BDD0AA7-C916-3D36-8C96-AD5365043DEF}"/>
            </a:ext>
          </a:extLst>
        </cdr:cNvPr>
        <cdr:cNvSpPr txBox="1"/>
      </cdr:nvSpPr>
      <cdr:spPr>
        <a:xfrm xmlns:a="http://schemas.openxmlformats.org/drawingml/2006/main">
          <a:off x="149860" y="386080"/>
          <a:ext cx="6670040" cy="286473"/>
        </a:xfrm>
        <a:prstGeom xmlns:a="http://schemas.openxmlformats.org/drawingml/2006/main" prst="rect">
          <a:avLst/>
        </a:prstGeom>
        <a:noFill xmlns:a="http://schemas.openxmlformats.org/drawingml/2006/main"/>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50" b="0">
              <a:solidFill>
                <a:schemeClr val="accent1">
                  <a:lumMod val="75000"/>
                </a:schemeClr>
              </a:solidFill>
              <a:latin typeface="+mn-lt"/>
              <a:cs typeface="Times New Roman" panose="02020603050405020304" pitchFamily="18" charset="0"/>
            </a:rPr>
            <a:t>Potential</a:t>
          </a:r>
          <a:r>
            <a:rPr lang="en-US" sz="1150" b="0" baseline="0">
              <a:solidFill>
                <a:schemeClr val="accent1">
                  <a:lumMod val="75000"/>
                </a:schemeClr>
              </a:solidFill>
              <a:latin typeface="+mn-lt"/>
              <a:cs typeface="Times New Roman" panose="02020603050405020304" pitchFamily="18" charset="0"/>
            </a:rPr>
            <a:t> Customers who can buy Sleepy-Nights Subscription </a:t>
          </a:r>
          <a:r>
            <a:rPr lang="en-US" sz="1150" b="0" baseline="0">
              <a:latin typeface="+mn-lt"/>
              <a:cs typeface="Times New Roman" panose="02020603050405020304" pitchFamily="18" charset="0"/>
            </a:rPr>
            <a:t>| </a:t>
          </a:r>
          <a:r>
            <a:rPr lang="en-US" sz="1150" b="0" baseline="0">
              <a:solidFill>
                <a:schemeClr val="bg2">
                  <a:lumMod val="50000"/>
                </a:schemeClr>
              </a:solidFill>
              <a:latin typeface="+mn-lt"/>
              <a:cs typeface="Times New Roman" panose="02020603050405020304" pitchFamily="18" charset="0"/>
            </a:rPr>
            <a:t>Customers not likely to buy the Subscription</a:t>
          </a:r>
          <a:endParaRPr lang="en-US" sz="1150" b="0">
            <a:solidFill>
              <a:schemeClr val="bg2">
                <a:lumMod val="50000"/>
              </a:schemeClr>
            </a:solidFill>
            <a:latin typeface="+mn-lt"/>
            <a:cs typeface="Times New Roman" panose="02020603050405020304" pitchFamily="18" charset="0"/>
          </a:endParaRPr>
        </a:p>
      </cdr:txBody>
    </cdr:sp>
  </cdr:relSizeAnchor>
</c:userShapes>
</file>

<file path=xl/drawings/drawing3.xml><?xml version="1.0" encoding="utf-8"?>
<xdr:wsDr xmlns:xdr="http://schemas.openxmlformats.org/drawingml/2006/spreadsheetDrawing" xmlns:a="http://schemas.openxmlformats.org/drawingml/2006/main">
  <xdr:twoCellAnchor>
    <xdr:from>
      <xdr:col>2</xdr:col>
      <xdr:colOff>213360</xdr:colOff>
      <xdr:row>2</xdr:row>
      <xdr:rowOff>0</xdr:rowOff>
    </xdr:from>
    <xdr:to>
      <xdr:col>14</xdr:col>
      <xdr:colOff>601980</xdr:colOff>
      <xdr:row>25</xdr:row>
      <xdr:rowOff>0</xdr:rowOff>
    </xdr:to>
    <xdr:graphicFrame macro="">
      <xdr:nvGraphicFramePr>
        <xdr:cNvPr id="2" name="Chart 1">
          <a:extLst>
            <a:ext uri="{FF2B5EF4-FFF2-40B4-BE49-F238E27FC236}">
              <a16:creationId xmlns:a16="http://schemas.microsoft.com/office/drawing/2014/main" id="{A313EF35-C0C0-9FC6-9623-2C1B9520F4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0.01945</cdr:x>
      <cdr:y>0.09179</cdr:y>
    </cdr:from>
    <cdr:to>
      <cdr:x>0.88526</cdr:x>
      <cdr:y>0.15989</cdr:y>
    </cdr:to>
    <cdr:sp macro="" textlink="">
      <cdr:nvSpPr>
        <cdr:cNvPr id="2" name="TextBox 1">
          <a:extLst xmlns:a="http://schemas.openxmlformats.org/drawingml/2006/main">
            <a:ext uri="{FF2B5EF4-FFF2-40B4-BE49-F238E27FC236}">
              <a16:creationId xmlns:a16="http://schemas.microsoft.com/office/drawing/2014/main" id="{4BDD0AA7-C916-3D36-8C96-AD5365043DEF}"/>
            </a:ext>
          </a:extLst>
        </cdr:cNvPr>
        <cdr:cNvSpPr txBox="1"/>
      </cdr:nvSpPr>
      <cdr:spPr>
        <a:xfrm xmlns:a="http://schemas.openxmlformats.org/drawingml/2006/main">
          <a:off x="149860" y="386080"/>
          <a:ext cx="6670040" cy="286473"/>
        </a:xfrm>
        <a:prstGeom xmlns:a="http://schemas.openxmlformats.org/drawingml/2006/main" prst="rect">
          <a:avLst/>
        </a:prstGeom>
        <a:noFill xmlns:a="http://schemas.openxmlformats.org/drawingml/2006/main"/>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50" b="0">
              <a:solidFill>
                <a:schemeClr val="accent1">
                  <a:lumMod val="75000"/>
                </a:schemeClr>
              </a:solidFill>
              <a:latin typeface="+mn-lt"/>
              <a:cs typeface="Times New Roman" panose="02020603050405020304" pitchFamily="18" charset="0"/>
            </a:rPr>
            <a:t>Potential</a:t>
          </a:r>
          <a:r>
            <a:rPr lang="en-US" sz="1150" b="0" baseline="0">
              <a:solidFill>
                <a:schemeClr val="accent1">
                  <a:lumMod val="75000"/>
                </a:schemeClr>
              </a:solidFill>
              <a:latin typeface="+mn-lt"/>
              <a:cs typeface="Times New Roman" panose="02020603050405020304" pitchFamily="18" charset="0"/>
            </a:rPr>
            <a:t> Customers who can buy Sleepy-Nights Subscription </a:t>
          </a:r>
          <a:r>
            <a:rPr lang="en-US" sz="1150" b="0" baseline="0">
              <a:latin typeface="+mn-lt"/>
              <a:cs typeface="Times New Roman" panose="02020603050405020304" pitchFamily="18" charset="0"/>
            </a:rPr>
            <a:t>| </a:t>
          </a:r>
          <a:r>
            <a:rPr lang="en-US" sz="1150" b="0" baseline="0">
              <a:solidFill>
                <a:schemeClr val="bg2">
                  <a:lumMod val="50000"/>
                </a:schemeClr>
              </a:solidFill>
              <a:latin typeface="+mn-lt"/>
              <a:cs typeface="Times New Roman" panose="02020603050405020304" pitchFamily="18" charset="0"/>
            </a:rPr>
            <a:t>Customers not likely to buy the Subscription</a:t>
          </a:r>
          <a:endParaRPr lang="en-US" sz="1150" b="0">
            <a:solidFill>
              <a:schemeClr val="bg2">
                <a:lumMod val="50000"/>
              </a:schemeClr>
            </a:solidFill>
            <a:latin typeface="+mn-lt"/>
            <a:cs typeface="Times New Roman" panose="02020603050405020304" pitchFamily="18" charset="0"/>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424.028703356482" createdVersion="8" refreshedVersion="8" minRefreshableVersion="3" recordCount="24" xr:uid="{AD8B5CBD-719F-4001-81C6-B6D3ED3E4E69}">
  <cacheSource type="worksheet">
    <worksheetSource ref="A1:D25" sheet="Analysis"/>
  </cacheSource>
  <cacheFields count="4">
    <cacheField name="Id" numFmtId="0">
      <sharedItems containsSemiMixedTypes="0" containsString="0" containsNumber="1" containsInteger="1" minValue="1503960366" maxValue="8792009665" count="24">
        <n v="1503960366"/>
        <n v="1644430081"/>
        <n v="1844505072"/>
        <n v="1927972279"/>
        <n v="2026352035"/>
        <n v="2320127002"/>
        <n v="2347167796"/>
        <n v="3977333714"/>
        <n v="4020332650"/>
        <n v="4319703577"/>
        <n v="4388161847"/>
        <n v="4445114986"/>
        <n v="4558609924"/>
        <n v="4702921684"/>
        <n v="5553957443"/>
        <n v="5577150313"/>
        <n v="6117666160"/>
        <n v="6775888955"/>
        <n v="6962181067"/>
        <n v="7007744171"/>
        <n v="7086361926"/>
        <n v="8053475328"/>
        <n v="8378563200"/>
        <n v="8792009665"/>
      </sharedItems>
    </cacheField>
    <cacheField name="TotalAvgMinutesAsleep" numFmtId="0">
      <sharedItems containsSemiMixedTypes="0" containsString="0" containsNumber="1" minValue="61" maxValue="652"/>
    </cacheField>
    <cacheField name="TotalHoursAsleep" numFmtId="0">
      <sharedItems containsSemiMixedTypes="0" containsString="0" containsNumber="1" minValue="1.0166666666666666" maxValue="10.866666666666667"/>
    </cacheField>
    <cacheField name="Category" numFmtId="0">
      <sharedItems count="3">
        <s v="Sleep Deprived"/>
        <s v="Potential Oversleepers"/>
        <s v="Normal Sleeper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
  <r>
    <x v="0"/>
    <n v="360.28"/>
    <n v="6.0046666666666662"/>
    <x v="0"/>
  </r>
  <r>
    <x v="1"/>
    <n v="294"/>
    <n v="4.9000000000000004"/>
    <x v="0"/>
  </r>
  <r>
    <x v="2"/>
    <n v="652"/>
    <n v="10.866666666666667"/>
    <x v="1"/>
  </r>
  <r>
    <x v="3"/>
    <n v="417"/>
    <n v="6.95"/>
    <x v="0"/>
  </r>
  <r>
    <x v="4"/>
    <n v="506.17857142857144"/>
    <n v="8.4363095238095234"/>
    <x v="2"/>
  </r>
  <r>
    <x v="5"/>
    <n v="61"/>
    <n v="1.0166666666666666"/>
    <x v="0"/>
  </r>
  <r>
    <x v="6"/>
    <n v="446.8"/>
    <n v="7.4466666666666672"/>
    <x v="2"/>
  </r>
  <r>
    <x v="7"/>
    <n v="293.64285714285717"/>
    <n v="4.8940476190476199"/>
    <x v="0"/>
  </r>
  <r>
    <x v="8"/>
    <n v="349.375"/>
    <n v="5.822916666666667"/>
    <x v="0"/>
  </r>
  <r>
    <x v="9"/>
    <n v="476.65384615384613"/>
    <n v="7.944230769230769"/>
    <x v="2"/>
  </r>
  <r>
    <x v="10"/>
    <n v="403.125"/>
    <n v="6.71875"/>
    <x v="0"/>
  </r>
  <r>
    <x v="11"/>
    <n v="385.17857142857144"/>
    <n v="6.4196428571428577"/>
    <x v="0"/>
  </r>
  <r>
    <x v="12"/>
    <n v="127.6"/>
    <n v="2.1266666666666665"/>
    <x v="0"/>
  </r>
  <r>
    <x v="13"/>
    <n v="421.14285714285717"/>
    <n v="7.0190476190476199"/>
    <x v="2"/>
  </r>
  <r>
    <x v="14"/>
    <n v="463.48387096774195"/>
    <n v="7.7247311827956988"/>
    <x v="2"/>
  </r>
  <r>
    <x v="15"/>
    <n v="432"/>
    <n v="7.2"/>
    <x v="2"/>
  </r>
  <r>
    <x v="16"/>
    <n v="478.77777777777777"/>
    <n v="7.9796296296296294"/>
    <x v="2"/>
  </r>
  <r>
    <x v="17"/>
    <n v="349.66666666666669"/>
    <n v="5.8277777777777784"/>
    <x v="0"/>
  </r>
  <r>
    <x v="18"/>
    <n v="448"/>
    <n v="7.4666666666666668"/>
    <x v="2"/>
  </r>
  <r>
    <x v="19"/>
    <n v="68.5"/>
    <n v="1.1416666666666666"/>
    <x v="0"/>
  </r>
  <r>
    <x v="20"/>
    <n v="453.125"/>
    <n v="7.552083333333333"/>
    <x v="2"/>
  </r>
  <r>
    <x v="21"/>
    <n v="297"/>
    <n v="4.95"/>
    <x v="0"/>
  </r>
  <r>
    <x v="22"/>
    <n v="443.34375"/>
    <n v="7.3890624999999996"/>
    <x v="2"/>
  </r>
  <r>
    <x v="23"/>
    <n v="435.66666666666669"/>
    <n v="7.261111111111111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FCEC496-00A6-4614-B2B8-9FDADDDE39D0}"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rowHeaderCaption="Categories">
  <location ref="A3:B6" firstHeaderRow="1" firstDataRow="1" firstDataCol="1"/>
  <pivotFields count="4">
    <pivotField dataField="1"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axis="axisRow" showAll="0">
      <items count="4">
        <item x="2"/>
        <item x="1"/>
        <item x="0"/>
        <item t="default"/>
      </items>
    </pivotField>
  </pivotFields>
  <rowFields count="1">
    <field x="3"/>
  </rowFields>
  <rowItems count="3">
    <i>
      <x/>
    </i>
    <i>
      <x v="1"/>
    </i>
    <i>
      <x v="2"/>
    </i>
  </rowItems>
  <colItems count="1">
    <i/>
  </colItems>
  <dataFields count="1">
    <dataField name="Count" fld="0" subtotal="count" baseField="3"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1"/>
          </reference>
        </references>
      </pivotArea>
    </chartFormat>
    <chartFormat chart="0" format="2">
      <pivotArea type="data" outline="0" fieldPosition="0">
        <references count="2">
          <reference field="4294967294" count="1" selected="0">
            <x v="0"/>
          </reference>
          <reference field="3" count="1" selected="0">
            <x v="2"/>
          </reference>
        </references>
      </pivotArea>
    </chartFormat>
    <chartFormat chart="0" format="3">
      <pivotArea type="data" outline="0" fieldPosition="0">
        <references count="2">
          <reference field="4294967294" count="1" selected="0">
            <x v="0"/>
          </reference>
          <reference field="3"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3" count="1" selected="0">
            <x v="0"/>
          </reference>
        </references>
      </pivotArea>
    </chartFormat>
    <chartFormat chart="2" format="6">
      <pivotArea type="data" outline="0" fieldPosition="0">
        <references count="2">
          <reference field="4294967294" count="1" selected="0">
            <x v="0"/>
          </reference>
          <reference field="3" count="1" selected="0">
            <x v="1"/>
          </reference>
        </references>
      </pivotArea>
    </chartFormat>
    <chartFormat chart="2" format="7">
      <pivotArea type="data" outline="0" fieldPosition="0">
        <references count="2">
          <reference field="4294967294" count="1" selected="0">
            <x v="0"/>
          </reference>
          <reference field="3" count="1" selected="0">
            <x v="2"/>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3" count="1" selected="0">
            <x v="0"/>
          </reference>
        </references>
      </pivotArea>
    </chartFormat>
    <chartFormat chart="3" format="10">
      <pivotArea type="data" outline="0" fieldPosition="0">
        <references count="2">
          <reference field="4294967294" count="1" selected="0">
            <x v="0"/>
          </reference>
          <reference field="3" count="1" selected="0">
            <x v="1"/>
          </reference>
        </references>
      </pivotArea>
    </chartFormat>
    <chartFormat chart="3" format="1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5B8B3-FDCE-4C20-925D-C63D7C558D4B}">
  <dimension ref="B2:W29"/>
  <sheetViews>
    <sheetView showGridLines="0" tabSelected="1" workbookViewId="0"/>
  </sheetViews>
  <sheetFormatPr defaultRowHeight="14.4" x14ac:dyDescent="0.3"/>
  <cols>
    <col min="1" max="1" width="5.109375" customWidth="1"/>
    <col min="2" max="2" width="11.77734375" customWidth="1"/>
    <col min="3" max="3" width="12.5546875" customWidth="1"/>
    <col min="4" max="4" width="19.77734375" customWidth="1"/>
    <col min="8" max="8" width="7.6640625" customWidth="1"/>
    <col min="15" max="15" width="11.88671875" customWidth="1"/>
  </cols>
  <sheetData>
    <row r="2" spans="2:23" ht="34.200000000000003" thickBot="1" x14ac:dyDescent="0.35">
      <c r="I2" s="11" t="s">
        <v>10</v>
      </c>
      <c r="J2" s="11"/>
      <c r="K2" s="11"/>
      <c r="L2" s="11"/>
      <c r="M2" s="11"/>
      <c r="N2" s="11"/>
      <c r="O2" s="11"/>
    </row>
    <row r="3" spans="2:23" ht="15" thickTop="1" x14ac:dyDescent="0.3"/>
    <row r="4" spans="2:23" ht="19.8" x14ac:dyDescent="0.3">
      <c r="B4" s="12" t="s">
        <v>11</v>
      </c>
      <c r="C4" s="12"/>
      <c r="D4" s="12"/>
      <c r="E4" s="12"/>
      <c r="F4" s="12"/>
      <c r="G4" s="12"/>
      <c r="H4" s="12"/>
      <c r="I4" s="12"/>
    </row>
    <row r="6" spans="2:23" ht="16.8" customHeight="1" x14ac:dyDescent="0.3">
      <c r="B6" s="13" t="s">
        <v>12</v>
      </c>
      <c r="C6" s="13"/>
      <c r="D6" s="13"/>
      <c r="E6" s="13"/>
      <c r="F6" s="13"/>
      <c r="G6" s="13"/>
      <c r="H6" s="13"/>
      <c r="I6" s="13"/>
      <c r="J6" s="13"/>
      <c r="K6" s="13"/>
      <c r="L6" s="13"/>
      <c r="M6" s="13"/>
      <c r="N6" s="13"/>
      <c r="O6" s="13"/>
      <c r="P6" s="13"/>
      <c r="Q6" s="13"/>
      <c r="R6" s="13"/>
      <c r="S6" s="13"/>
      <c r="T6" s="13"/>
      <c r="U6" s="13"/>
      <c r="V6" s="3"/>
      <c r="W6" s="3"/>
    </row>
    <row r="7" spans="2:23" ht="14.4" customHeight="1" x14ac:dyDescent="0.3">
      <c r="B7" s="13"/>
      <c r="C7" s="13"/>
      <c r="D7" s="13"/>
      <c r="E7" s="13"/>
      <c r="F7" s="13"/>
      <c r="G7" s="13"/>
      <c r="H7" s="13"/>
      <c r="I7" s="13"/>
      <c r="J7" s="13"/>
      <c r="K7" s="13"/>
      <c r="L7" s="13"/>
      <c r="M7" s="13"/>
      <c r="N7" s="13"/>
      <c r="O7" s="13"/>
      <c r="P7" s="13"/>
      <c r="Q7" s="13"/>
      <c r="R7" s="13"/>
      <c r="S7" s="13"/>
      <c r="T7" s="13"/>
      <c r="U7" s="13"/>
      <c r="V7" s="3"/>
      <c r="W7" s="3"/>
    </row>
    <row r="8" spans="2:23" ht="14.4" customHeight="1" x14ac:dyDescent="0.3">
      <c r="B8" s="13"/>
      <c r="C8" s="13"/>
      <c r="D8" s="13"/>
      <c r="E8" s="13"/>
      <c r="F8" s="13"/>
      <c r="G8" s="13"/>
      <c r="H8" s="13"/>
      <c r="I8" s="13"/>
      <c r="J8" s="13"/>
      <c r="K8" s="13"/>
      <c r="L8" s="13"/>
      <c r="M8" s="13"/>
      <c r="N8" s="13"/>
      <c r="O8" s="13"/>
      <c r="P8" s="13"/>
      <c r="Q8" s="13"/>
      <c r="R8" s="13"/>
      <c r="S8" s="13"/>
      <c r="T8" s="13"/>
      <c r="U8" s="13"/>
      <c r="V8" s="3"/>
      <c r="W8" s="3"/>
    </row>
    <row r="9" spans="2:23" ht="14.4" customHeight="1" x14ac:dyDescent="0.3">
      <c r="B9" s="13"/>
      <c r="C9" s="13"/>
      <c r="D9" s="13"/>
      <c r="E9" s="13"/>
      <c r="F9" s="13"/>
      <c r="G9" s="13"/>
      <c r="H9" s="13"/>
      <c r="I9" s="13"/>
      <c r="J9" s="13"/>
      <c r="K9" s="13"/>
      <c r="L9" s="13"/>
      <c r="M9" s="13"/>
      <c r="N9" s="13"/>
      <c r="O9" s="13"/>
      <c r="P9" s="13"/>
      <c r="Q9" s="13"/>
      <c r="R9" s="13"/>
      <c r="S9" s="13"/>
      <c r="T9" s="13"/>
      <c r="U9" s="13"/>
      <c r="V9" s="3"/>
      <c r="W9" s="3"/>
    </row>
    <row r="11" spans="2:23" ht="16.8" customHeight="1" x14ac:dyDescent="0.3">
      <c r="B11" s="13" t="s">
        <v>13</v>
      </c>
      <c r="C11" s="13"/>
      <c r="D11" s="13"/>
      <c r="E11" s="13"/>
      <c r="F11" s="13"/>
      <c r="G11" s="13"/>
      <c r="H11" s="13"/>
      <c r="I11" s="13"/>
      <c r="J11" s="13"/>
      <c r="K11" s="13"/>
      <c r="L11" s="13"/>
      <c r="M11" s="13"/>
      <c r="N11" s="13"/>
      <c r="O11" s="13"/>
      <c r="P11" s="13"/>
      <c r="Q11" s="13"/>
      <c r="R11" s="13"/>
      <c r="S11" s="13"/>
      <c r="T11" s="13"/>
      <c r="U11" s="13"/>
      <c r="V11" s="3"/>
      <c r="W11" s="3"/>
    </row>
    <row r="12" spans="2:23" ht="16.8" customHeight="1" x14ac:dyDescent="0.3">
      <c r="B12" s="13"/>
      <c r="C12" s="13"/>
      <c r="D12" s="13"/>
      <c r="E12" s="13"/>
      <c r="F12" s="13"/>
      <c r="G12" s="13"/>
      <c r="H12" s="13"/>
      <c r="I12" s="13"/>
      <c r="J12" s="13"/>
      <c r="K12" s="13"/>
      <c r="L12" s="13"/>
      <c r="M12" s="13"/>
      <c r="N12" s="13"/>
      <c r="O12" s="13"/>
      <c r="P12" s="13"/>
      <c r="Q12" s="13"/>
      <c r="R12" s="13"/>
      <c r="S12" s="13"/>
      <c r="T12" s="13"/>
      <c r="U12" s="13"/>
      <c r="V12" s="3"/>
      <c r="W12" s="3"/>
    </row>
    <row r="14" spans="2:23" ht="16.8" customHeight="1" x14ac:dyDescent="0.3">
      <c r="B14" s="13" t="s">
        <v>15</v>
      </c>
      <c r="C14" s="13"/>
      <c r="D14" s="13"/>
      <c r="E14" s="13"/>
      <c r="F14" s="13"/>
      <c r="G14" s="13"/>
      <c r="H14" s="13"/>
      <c r="I14" s="13"/>
      <c r="J14" s="13"/>
      <c r="K14" s="13"/>
      <c r="L14" s="13"/>
      <c r="M14" s="13"/>
      <c r="N14" s="13"/>
      <c r="O14" s="13"/>
      <c r="P14" s="13"/>
      <c r="Q14" s="13"/>
      <c r="R14" s="13"/>
      <c r="S14" s="13"/>
      <c r="T14" s="13"/>
      <c r="U14" s="13"/>
      <c r="V14" s="3"/>
      <c r="W14" s="3"/>
    </row>
    <row r="16" spans="2:23" x14ac:dyDescent="0.3">
      <c r="B16" s="4" t="s">
        <v>0</v>
      </c>
      <c r="C16" s="4" t="s">
        <v>14</v>
      </c>
      <c r="D16" s="5" t="s">
        <v>3</v>
      </c>
    </row>
    <row r="17" spans="2:4" x14ac:dyDescent="0.3">
      <c r="B17" s="6">
        <v>1503960366</v>
      </c>
      <c r="C17" s="6">
        <v>6.0046666666666662</v>
      </c>
      <c r="D17" s="8" t="s">
        <v>7</v>
      </c>
    </row>
    <row r="18" spans="2:4" x14ac:dyDescent="0.3">
      <c r="B18" s="6">
        <v>1644430081</v>
      </c>
      <c r="C18" s="6">
        <v>4.9000000000000004</v>
      </c>
      <c r="D18" s="8" t="s">
        <v>7</v>
      </c>
    </row>
    <row r="19" spans="2:4" x14ac:dyDescent="0.3">
      <c r="B19" s="6">
        <v>1844505072</v>
      </c>
      <c r="C19" s="6">
        <v>10.866666666666667</v>
      </c>
      <c r="D19" s="10" t="s">
        <v>6</v>
      </c>
    </row>
    <row r="20" spans="2:4" x14ac:dyDescent="0.3">
      <c r="B20" s="6">
        <v>1927972279</v>
      </c>
      <c r="C20" s="6">
        <v>6.95</v>
      </c>
      <c r="D20" s="8" t="s">
        <v>7</v>
      </c>
    </row>
    <row r="21" spans="2:4" x14ac:dyDescent="0.3">
      <c r="B21" s="6">
        <v>2320127002</v>
      </c>
      <c r="C21" s="6">
        <v>1.0166666666666666</v>
      </c>
      <c r="D21" s="8" t="s">
        <v>7</v>
      </c>
    </row>
    <row r="22" spans="2:4" x14ac:dyDescent="0.3">
      <c r="B22" s="6">
        <v>3977333714</v>
      </c>
      <c r="C22" s="6">
        <v>4.8940476190476199</v>
      </c>
      <c r="D22" s="8" t="s">
        <v>7</v>
      </c>
    </row>
    <row r="23" spans="2:4" x14ac:dyDescent="0.3">
      <c r="B23" s="6">
        <v>4020332650</v>
      </c>
      <c r="C23" s="6">
        <v>5.822916666666667</v>
      </c>
      <c r="D23" s="8" t="s">
        <v>7</v>
      </c>
    </row>
    <row r="24" spans="2:4" x14ac:dyDescent="0.3">
      <c r="B24" s="6">
        <v>4388161847</v>
      </c>
      <c r="C24" s="6">
        <v>6.71875</v>
      </c>
      <c r="D24" s="8" t="s">
        <v>7</v>
      </c>
    </row>
    <row r="25" spans="2:4" x14ac:dyDescent="0.3">
      <c r="B25" s="6">
        <v>4445114986</v>
      </c>
      <c r="C25" s="6">
        <v>6.4196428571428577</v>
      </c>
      <c r="D25" s="8" t="s">
        <v>7</v>
      </c>
    </row>
    <row r="26" spans="2:4" x14ac:dyDescent="0.3">
      <c r="B26" s="6">
        <v>4558609924</v>
      </c>
      <c r="C26" s="6">
        <v>2.1266666666666665</v>
      </c>
      <c r="D26" s="8" t="s">
        <v>7</v>
      </c>
    </row>
    <row r="27" spans="2:4" x14ac:dyDescent="0.3">
      <c r="B27" s="6">
        <v>6775888955</v>
      </c>
      <c r="C27" s="6">
        <v>5.8277777777777784</v>
      </c>
      <c r="D27" s="8" t="s">
        <v>7</v>
      </c>
    </row>
    <row r="28" spans="2:4" x14ac:dyDescent="0.3">
      <c r="B28" s="6">
        <v>7007744171</v>
      </c>
      <c r="C28" s="6">
        <v>1.1416666666666666</v>
      </c>
      <c r="D28" s="8" t="s">
        <v>7</v>
      </c>
    </row>
    <row r="29" spans="2:4" x14ac:dyDescent="0.3">
      <c r="B29" s="7">
        <v>8053475328</v>
      </c>
      <c r="C29" s="7">
        <v>4.95</v>
      </c>
      <c r="D29" s="9" t="s">
        <v>7</v>
      </c>
    </row>
  </sheetData>
  <mergeCells count="5">
    <mergeCell ref="I2:O2"/>
    <mergeCell ref="B4:I4"/>
    <mergeCell ref="B6:U9"/>
    <mergeCell ref="B11:U12"/>
    <mergeCell ref="B14:U1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292A3-6EF6-4DFA-94A4-7E613704C79B}">
  <dimension ref="A1:S414"/>
  <sheetViews>
    <sheetView workbookViewId="0"/>
  </sheetViews>
  <sheetFormatPr defaultRowHeight="14.4" x14ac:dyDescent="0.3"/>
  <cols>
    <col min="1" max="1" width="11" bestFit="1" customWidth="1"/>
    <col min="2" max="2" width="20.109375" bestFit="1" customWidth="1"/>
  </cols>
  <sheetData>
    <row r="1" spans="1:19" x14ac:dyDescent="0.3">
      <c r="A1" s="36" t="s">
        <v>0</v>
      </c>
      <c r="B1" s="36" t="s">
        <v>1</v>
      </c>
    </row>
    <row r="2" spans="1:19" x14ac:dyDescent="0.3">
      <c r="A2" s="29">
        <v>1503960366</v>
      </c>
      <c r="B2" s="29">
        <v>327</v>
      </c>
      <c r="D2" s="14" t="s">
        <v>16</v>
      </c>
      <c r="E2" s="15"/>
      <c r="F2" s="15"/>
      <c r="G2" s="15"/>
      <c r="H2" s="15"/>
      <c r="I2" s="15"/>
      <c r="J2" s="15"/>
      <c r="K2" s="15"/>
      <c r="L2" s="15"/>
      <c r="M2" s="15"/>
      <c r="N2" s="15"/>
      <c r="O2" s="15"/>
      <c r="P2" s="15"/>
      <c r="Q2" s="15"/>
      <c r="R2" s="15"/>
      <c r="S2" s="16"/>
    </row>
    <row r="3" spans="1:19" x14ac:dyDescent="0.3">
      <c r="A3" s="29">
        <v>1503960366</v>
      </c>
      <c r="B3" s="29">
        <v>384</v>
      </c>
      <c r="D3" s="17"/>
      <c r="E3" s="18"/>
      <c r="F3" s="18"/>
      <c r="G3" s="18"/>
      <c r="H3" s="18"/>
      <c r="I3" s="18"/>
      <c r="J3" s="18"/>
      <c r="K3" s="18"/>
      <c r="L3" s="18"/>
      <c r="M3" s="18"/>
      <c r="N3" s="18"/>
      <c r="O3" s="18"/>
      <c r="P3" s="18"/>
      <c r="Q3" s="18"/>
      <c r="R3" s="18"/>
      <c r="S3" s="19"/>
    </row>
    <row r="4" spans="1:19" x14ac:dyDescent="0.3">
      <c r="A4" s="29">
        <v>1503960366</v>
      </c>
      <c r="B4" s="29">
        <v>412</v>
      </c>
    </row>
    <row r="5" spans="1:19" x14ac:dyDescent="0.3">
      <c r="A5" s="29">
        <v>1503960366</v>
      </c>
      <c r="B5" s="29">
        <v>340</v>
      </c>
    </row>
    <row r="6" spans="1:19" x14ac:dyDescent="0.3">
      <c r="A6" s="29">
        <v>1503960366</v>
      </c>
      <c r="B6" s="29">
        <v>700</v>
      </c>
    </row>
    <row r="7" spans="1:19" x14ac:dyDescent="0.3">
      <c r="A7" s="29">
        <v>1503960366</v>
      </c>
      <c r="B7" s="29">
        <v>304</v>
      </c>
    </row>
    <row r="8" spans="1:19" x14ac:dyDescent="0.3">
      <c r="A8" s="29">
        <v>1503960366</v>
      </c>
      <c r="B8" s="29">
        <v>360</v>
      </c>
    </row>
    <row r="9" spans="1:19" x14ac:dyDescent="0.3">
      <c r="A9" s="29">
        <v>1503960366</v>
      </c>
      <c r="B9" s="29">
        <v>325</v>
      </c>
    </row>
    <row r="10" spans="1:19" x14ac:dyDescent="0.3">
      <c r="A10" s="29">
        <v>1503960366</v>
      </c>
      <c r="B10" s="29">
        <v>361</v>
      </c>
    </row>
    <row r="11" spans="1:19" x14ac:dyDescent="0.3">
      <c r="A11" s="29">
        <v>1503960366</v>
      </c>
      <c r="B11" s="29">
        <v>430</v>
      </c>
    </row>
    <row r="12" spans="1:19" x14ac:dyDescent="0.3">
      <c r="A12" s="29">
        <v>1503960366</v>
      </c>
      <c r="B12" s="29">
        <v>277</v>
      </c>
    </row>
    <row r="13" spans="1:19" x14ac:dyDescent="0.3">
      <c r="A13" s="29">
        <v>1503960366</v>
      </c>
      <c r="B13" s="29">
        <v>245</v>
      </c>
    </row>
    <row r="14" spans="1:19" x14ac:dyDescent="0.3">
      <c r="A14" s="29">
        <v>1503960366</v>
      </c>
      <c r="B14" s="29">
        <v>366</v>
      </c>
    </row>
    <row r="15" spans="1:19" x14ac:dyDescent="0.3">
      <c r="A15" s="29">
        <v>1503960366</v>
      </c>
      <c r="B15" s="29">
        <v>341</v>
      </c>
    </row>
    <row r="16" spans="1:19" x14ac:dyDescent="0.3">
      <c r="A16" s="29">
        <v>1503960366</v>
      </c>
      <c r="B16" s="29">
        <v>404</v>
      </c>
    </row>
    <row r="17" spans="1:2" x14ac:dyDescent="0.3">
      <c r="A17" s="29">
        <v>1503960366</v>
      </c>
      <c r="B17" s="29">
        <v>369</v>
      </c>
    </row>
    <row r="18" spans="1:2" x14ac:dyDescent="0.3">
      <c r="A18" s="29">
        <v>1503960366</v>
      </c>
      <c r="B18" s="29">
        <v>277</v>
      </c>
    </row>
    <row r="19" spans="1:2" x14ac:dyDescent="0.3">
      <c r="A19" s="29">
        <v>1503960366</v>
      </c>
      <c r="B19" s="29">
        <v>273</v>
      </c>
    </row>
    <row r="20" spans="1:2" x14ac:dyDescent="0.3">
      <c r="A20" s="29">
        <v>1503960366</v>
      </c>
      <c r="B20" s="29">
        <v>247</v>
      </c>
    </row>
    <row r="21" spans="1:2" x14ac:dyDescent="0.3">
      <c r="A21" s="29">
        <v>1503960366</v>
      </c>
      <c r="B21" s="29">
        <v>334</v>
      </c>
    </row>
    <row r="22" spans="1:2" x14ac:dyDescent="0.3">
      <c r="A22" s="29">
        <v>1503960366</v>
      </c>
      <c r="B22" s="29">
        <v>331</v>
      </c>
    </row>
    <row r="23" spans="1:2" x14ac:dyDescent="0.3">
      <c r="A23" s="29">
        <v>1503960366</v>
      </c>
      <c r="B23" s="29">
        <v>594</v>
      </c>
    </row>
    <row r="24" spans="1:2" x14ac:dyDescent="0.3">
      <c r="A24" s="29">
        <v>1503960366</v>
      </c>
      <c r="B24" s="29">
        <v>338</v>
      </c>
    </row>
    <row r="25" spans="1:2" x14ac:dyDescent="0.3">
      <c r="A25" s="29">
        <v>1503960366</v>
      </c>
      <c r="B25" s="29">
        <v>383</v>
      </c>
    </row>
    <row r="26" spans="1:2" x14ac:dyDescent="0.3">
      <c r="A26" s="29">
        <v>1503960366</v>
      </c>
      <c r="B26" s="29">
        <v>285</v>
      </c>
    </row>
    <row r="27" spans="1:2" x14ac:dyDescent="0.3">
      <c r="A27" s="29">
        <v>1644430081</v>
      </c>
      <c r="B27" s="29">
        <v>119</v>
      </c>
    </row>
    <row r="28" spans="1:2" x14ac:dyDescent="0.3">
      <c r="A28" s="29">
        <v>1644430081</v>
      </c>
      <c r="B28" s="29">
        <v>124</v>
      </c>
    </row>
    <row r="29" spans="1:2" x14ac:dyDescent="0.3">
      <c r="A29" s="29">
        <v>1644430081</v>
      </c>
      <c r="B29" s="29">
        <v>796</v>
      </c>
    </row>
    <row r="30" spans="1:2" x14ac:dyDescent="0.3">
      <c r="A30" s="29">
        <v>1644430081</v>
      </c>
      <c r="B30" s="29">
        <v>137</v>
      </c>
    </row>
    <row r="31" spans="1:2" x14ac:dyDescent="0.3">
      <c r="A31" s="29">
        <v>1844505072</v>
      </c>
      <c r="B31" s="29">
        <v>644</v>
      </c>
    </row>
    <row r="32" spans="1:2" x14ac:dyDescent="0.3">
      <c r="A32" s="29">
        <v>1844505072</v>
      </c>
      <c r="B32" s="29">
        <v>722</v>
      </c>
    </row>
    <row r="33" spans="1:2" x14ac:dyDescent="0.3">
      <c r="A33" s="29">
        <v>1844505072</v>
      </c>
      <c r="B33" s="29">
        <v>590</v>
      </c>
    </row>
    <row r="34" spans="1:2" x14ac:dyDescent="0.3">
      <c r="A34" s="29">
        <v>1927972279</v>
      </c>
      <c r="B34" s="29">
        <v>750</v>
      </c>
    </row>
    <row r="35" spans="1:2" x14ac:dyDescent="0.3">
      <c r="A35" s="29">
        <v>1927972279</v>
      </c>
      <c r="B35" s="29">
        <v>398</v>
      </c>
    </row>
    <row r="36" spans="1:2" x14ac:dyDescent="0.3">
      <c r="A36" s="29">
        <v>1927972279</v>
      </c>
      <c r="B36" s="29">
        <v>475</v>
      </c>
    </row>
    <row r="37" spans="1:2" x14ac:dyDescent="0.3">
      <c r="A37" s="29">
        <v>1927972279</v>
      </c>
      <c r="B37" s="29">
        <v>296</v>
      </c>
    </row>
    <row r="38" spans="1:2" x14ac:dyDescent="0.3">
      <c r="A38" s="29">
        <v>1927972279</v>
      </c>
      <c r="B38" s="29">
        <v>166</v>
      </c>
    </row>
    <row r="39" spans="1:2" x14ac:dyDescent="0.3">
      <c r="A39" s="29">
        <v>2026352035</v>
      </c>
      <c r="B39" s="29">
        <v>503</v>
      </c>
    </row>
    <row r="40" spans="1:2" x14ac:dyDescent="0.3">
      <c r="A40" s="29">
        <v>2026352035</v>
      </c>
      <c r="B40" s="29">
        <v>531</v>
      </c>
    </row>
    <row r="41" spans="1:2" x14ac:dyDescent="0.3">
      <c r="A41" s="29">
        <v>2026352035</v>
      </c>
      <c r="B41" s="29">
        <v>545</v>
      </c>
    </row>
    <row r="42" spans="1:2" x14ac:dyDescent="0.3">
      <c r="A42" s="29">
        <v>2026352035</v>
      </c>
      <c r="B42" s="29">
        <v>523</v>
      </c>
    </row>
    <row r="43" spans="1:2" x14ac:dyDescent="0.3">
      <c r="A43" s="29">
        <v>2026352035</v>
      </c>
      <c r="B43" s="29">
        <v>524</v>
      </c>
    </row>
    <row r="44" spans="1:2" x14ac:dyDescent="0.3">
      <c r="A44" s="29">
        <v>2026352035</v>
      </c>
      <c r="B44" s="29">
        <v>437</v>
      </c>
    </row>
    <row r="45" spans="1:2" x14ac:dyDescent="0.3">
      <c r="A45" s="29">
        <v>2026352035</v>
      </c>
      <c r="B45" s="29">
        <v>498</v>
      </c>
    </row>
    <row r="46" spans="1:2" x14ac:dyDescent="0.3">
      <c r="A46" s="29">
        <v>2026352035</v>
      </c>
      <c r="B46" s="29">
        <v>461</v>
      </c>
    </row>
    <row r="47" spans="1:2" x14ac:dyDescent="0.3">
      <c r="A47" s="29">
        <v>2026352035</v>
      </c>
      <c r="B47" s="29">
        <v>477</v>
      </c>
    </row>
    <row r="48" spans="1:2" x14ac:dyDescent="0.3">
      <c r="A48" s="29">
        <v>2026352035</v>
      </c>
      <c r="B48" s="29">
        <v>520</v>
      </c>
    </row>
    <row r="49" spans="1:2" x14ac:dyDescent="0.3">
      <c r="A49" s="29">
        <v>2026352035</v>
      </c>
      <c r="B49" s="29">
        <v>522</v>
      </c>
    </row>
    <row r="50" spans="1:2" x14ac:dyDescent="0.3">
      <c r="A50" s="29">
        <v>2026352035</v>
      </c>
      <c r="B50" s="29">
        <v>555</v>
      </c>
    </row>
    <row r="51" spans="1:2" x14ac:dyDescent="0.3">
      <c r="A51" s="29">
        <v>2026352035</v>
      </c>
      <c r="B51" s="29">
        <v>506</v>
      </c>
    </row>
    <row r="52" spans="1:2" x14ac:dyDescent="0.3">
      <c r="A52" s="29">
        <v>2026352035</v>
      </c>
      <c r="B52" s="29">
        <v>508</v>
      </c>
    </row>
    <row r="53" spans="1:2" x14ac:dyDescent="0.3">
      <c r="A53" s="29">
        <v>2026352035</v>
      </c>
      <c r="B53" s="29">
        <v>513</v>
      </c>
    </row>
    <row r="54" spans="1:2" x14ac:dyDescent="0.3">
      <c r="A54" s="29">
        <v>2026352035</v>
      </c>
      <c r="B54" s="29">
        <v>490</v>
      </c>
    </row>
    <row r="55" spans="1:2" x14ac:dyDescent="0.3">
      <c r="A55" s="29">
        <v>2026352035</v>
      </c>
      <c r="B55" s="29">
        <v>573</v>
      </c>
    </row>
    <row r="56" spans="1:2" x14ac:dyDescent="0.3">
      <c r="A56" s="29">
        <v>2026352035</v>
      </c>
      <c r="B56" s="29">
        <v>527</v>
      </c>
    </row>
    <row r="57" spans="1:2" x14ac:dyDescent="0.3">
      <c r="A57" s="29">
        <v>2026352035</v>
      </c>
      <c r="B57" s="29">
        <v>511</v>
      </c>
    </row>
    <row r="58" spans="1:2" x14ac:dyDescent="0.3">
      <c r="A58" s="29">
        <v>2026352035</v>
      </c>
      <c r="B58" s="29">
        <v>538</v>
      </c>
    </row>
    <row r="59" spans="1:2" x14ac:dyDescent="0.3">
      <c r="A59" s="29">
        <v>2026352035</v>
      </c>
      <c r="B59" s="29">
        <v>468</v>
      </c>
    </row>
    <row r="60" spans="1:2" x14ac:dyDescent="0.3">
      <c r="A60" s="29">
        <v>2026352035</v>
      </c>
      <c r="B60" s="29">
        <v>524</v>
      </c>
    </row>
    <row r="61" spans="1:2" x14ac:dyDescent="0.3">
      <c r="A61" s="29">
        <v>2026352035</v>
      </c>
      <c r="B61" s="29">
        <v>511</v>
      </c>
    </row>
    <row r="62" spans="1:2" x14ac:dyDescent="0.3">
      <c r="A62" s="29">
        <v>2026352035</v>
      </c>
      <c r="B62" s="29">
        <v>541</v>
      </c>
    </row>
    <row r="63" spans="1:2" x14ac:dyDescent="0.3">
      <c r="A63" s="29">
        <v>2026352035</v>
      </c>
      <c r="B63" s="29">
        <v>531</v>
      </c>
    </row>
    <row r="64" spans="1:2" x14ac:dyDescent="0.3">
      <c r="A64" s="29">
        <v>2026352035</v>
      </c>
      <c r="B64" s="29">
        <v>357</v>
      </c>
    </row>
    <row r="65" spans="1:2" x14ac:dyDescent="0.3">
      <c r="A65" s="29">
        <v>2026352035</v>
      </c>
      <c r="B65" s="29">
        <v>523</v>
      </c>
    </row>
    <row r="66" spans="1:2" x14ac:dyDescent="0.3">
      <c r="A66" s="29">
        <v>2026352035</v>
      </c>
      <c r="B66" s="29">
        <v>456</v>
      </c>
    </row>
    <row r="67" spans="1:2" x14ac:dyDescent="0.3">
      <c r="A67" s="29">
        <v>2320127002</v>
      </c>
      <c r="B67" s="29">
        <v>61</v>
      </c>
    </row>
    <row r="68" spans="1:2" x14ac:dyDescent="0.3">
      <c r="A68" s="29">
        <v>2347167796</v>
      </c>
      <c r="B68" s="29">
        <v>467</v>
      </c>
    </row>
    <row r="69" spans="1:2" x14ac:dyDescent="0.3">
      <c r="A69" s="29">
        <v>2347167796</v>
      </c>
      <c r="B69" s="29">
        <v>445</v>
      </c>
    </row>
    <row r="70" spans="1:2" x14ac:dyDescent="0.3">
      <c r="A70" s="29">
        <v>2347167796</v>
      </c>
      <c r="B70" s="29">
        <v>452</v>
      </c>
    </row>
    <row r="71" spans="1:2" x14ac:dyDescent="0.3">
      <c r="A71" s="29">
        <v>2347167796</v>
      </c>
      <c r="B71" s="29">
        <v>556</v>
      </c>
    </row>
    <row r="72" spans="1:2" x14ac:dyDescent="0.3">
      <c r="A72" s="29">
        <v>2347167796</v>
      </c>
      <c r="B72" s="29">
        <v>500</v>
      </c>
    </row>
    <row r="73" spans="1:2" x14ac:dyDescent="0.3">
      <c r="A73" s="29">
        <v>2347167796</v>
      </c>
      <c r="B73" s="29">
        <v>465</v>
      </c>
    </row>
    <row r="74" spans="1:2" x14ac:dyDescent="0.3">
      <c r="A74" s="29">
        <v>2347167796</v>
      </c>
      <c r="B74" s="29">
        <v>460</v>
      </c>
    </row>
    <row r="75" spans="1:2" x14ac:dyDescent="0.3">
      <c r="A75" s="29">
        <v>2347167796</v>
      </c>
      <c r="B75" s="29">
        <v>405</v>
      </c>
    </row>
    <row r="76" spans="1:2" x14ac:dyDescent="0.3">
      <c r="A76" s="29">
        <v>2347167796</v>
      </c>
      <c r="B76" s="29">
        <v>374</v>
      </c>
    </row>
    <row r="77" spans="1:2" x14ac:dyDescent="0.3">
      <c r="A77" s="29">
        <v>2347167796</v>
      </c>
      <c r="B77" s="29">
        <v>442</v>
      </c>
    </row>
    <row r="78" spans="1:2" x14ac:dyDescent="0.3">
      <c r="A78" s="29">
        <v>2347167796</v>
      </c>
      <c r="B78" s="29">
        <v>433</v>
      </c>
    </row>
    <row r="79" spans="1:2" x14ac:dyDescent="0.3">
      <c r="A79" s="29">
        <v>2347167796</v>
      </c>
      <c r="B79" s="29">
        <v>436</v>
      </c>
    </row>
    <row r="80" spans="1:2" x14ac:dyDescent="0.3">
      <c r="A80" s="29">
        <v>2347167796</v>
      </c>
      <c r="B80" s="29">
        <v>448</v>
      </c>
    </row>
    <row r="81" spans="1:2" x14ac:dyDescent="0.3">
      <c r="A81" s="29">
        <v>2347167796</v>
      </c>
      <c r="B81" s="29">
        <v>408</v>
      </c>
    </row>
    <row r="82" spans="1:2" x14ac:dyDescent="0.3">
      <c r="A82" s="29">
        <v>2347167796</v>
      </c>
      <c r="B82" s="29">
        <v>411</v>
      </c>
    </row>
    <row r="83" spans="1:2" x14ac:dyDescent="0.3">
      <c r="A83" s="29">
        <v>3977333714</v>
      </c>
      <c r="B83" s="29">
        <v>274</v>
      </c>
    </row>
    <row r="84" spans="1:2" x14ac:dyDescent="0.3">
      <c r="A84" s="29">
        <v>3977333714</v>
      </c>
      <c r="B84" s="29">
        <v>295</v>
      </c>
    </row>
    <row r="85" spans="1:2" x14ac:dyDescent="0.3">
      <c r="A85" s="29">
        <v>3977333714</v>
      </c>
      <c r="B85" s="29">
        <v>291</v>
      </c>
    </row>
    <row r="86" spans="1:2" x14ac:dyDescent="0.3">
      <c r="A86" s="29">
        <v>3977333714</v>
      </c>
      <c r="B86" s="29">
        <v>424</v>
      </c>
    </row>
    <row r="87" spans="1:2" x14ac:dyDescent="0.3">
      <c r="A87" s="29">
        <v>3977333714</v>
      </c>
      <c r="B87" s="29">
        <v>283</v>
      </c>
    </row>
    <row r="88" spans="1:2" x14ac:dyDescent="0.3">
      <c r="A88" s="29">
        <v>3977333714</v>
      </c>
      <c r="B88" s="29">
        <v>381</v>
      </c>
    </row>
    <row r="89" spans="1:2" x14ac:dyDescent="0.3">
      <c r="A89" s="29">
        <v>3977333714</v>
      </c>
      <c r="B89" s="29">
        <v>412</v>
      </c>
    </row>
    <row r="90" spans="1:2" x14ac:dyDescent="0.3">
      <c r="A90" s="29">
        <v>3977333714</v>
      </c>
      <c r="B90" s="29">
        <v>219</v>
      </c>
    </row>
    <row r="91" spans="1:2" x14ac:dyDescent="0.3">
      <c r="A91" s="29">
        <v>3977333714</v>
      </c>
      <c r="B91" s="29">
        <v>152</v>
      </c>
    </row>
    <row r="92" spans="1:2" x14ac:dyDescent="0.3">
      <c r="A92" s="29">
        <v>3977333714</v>
      </c>
      <c r="B92" s="29">
        <v>332</v>
      </c>
    </row>
    <row r="93" spans="1:2" x14ac:dyDescent="0.3">
      <c r="A93" s="29">
        <v>3977333714</v>
      </c>
      <c r="B93" s="29">
        <v>355</v>
      </c>
    </row>
    <row r="94" spans="1:2" x14ac:dyDescent="0.3">
      <c r="A94" s="29">
        <v>3977333714</v>
      </c>
      <c r="B94" s="29">
        <v>235</v>
      </c>
    </row>
    <row r="95" spans="1:2" x14ac:dyDescent="0.3">
      <c r="A95" s="29">
        <v>3977333714</v>
      </c>
      <c r="B95" s="29">
        <v>310</v>
      </c>
    </row>
    <row r="96" spans="1:2" x14ac:dyDescent="0.3">
      <c r="A96" s="29">
        <v>3977333714</v>
      </c>
      <c r="B96" s="29">
        <v>262</v>
      </c>
    </row>
    <row r="97" spans="1:2" x14ac:dyDescent="0.3">
      <c r="A97" s="29">
        <v>3977333714</v>
      </c>
      <c r="B97" s="29">
        <v>250</v>
      </c>
    </row>
    <row r="98" spans="1:2" x14ac:dyDescent="0.3">
      <c r="A98" s="29">
        <v>3977333714</v>
      </c>
      <c r="B98" s="29">
        <v>349</v>
      </c>
    </row>
    <row r="99" spans="1:2" x14ac:dyDescent="0.3">
      <c r="A99" s="29">
        <v>3977333714</v>
      </c>
      <c r="B99" s="29">
        <v>261</v>
      </c>
    </row>
    <row r="100" spans="1:2" x14ac:dyDescent="0.3">
      <c r="A100" s="29">
        <v>3977333714</v>
      </c>
      <c r="B100" s="29">
        <v>333</v>
      </c>
    </row>
    <row r="101" spans="1:2" x14ac:dyDescent="0.3">
      <c r="A101" s="29">
        <v>3977333714</v>
      </c>
      <c r="B101" s="29">
        <v>237</v>
      </c>
    </row>
    <row r="102" spans="1:2" x14ac:dyDescent="0.3">
      <c r="A102" s="29">
        <v>3977333714</v>
      </c>
      <c r="B102" s="29">
        <v>383</v>
      </c>
    </row>
    <row r="103" spans="1:2" x14ac:dyDescent="0.3">
      <c r="A103" s="29">
        <v>3977333714</v>
      </c>
      <c r="B103" s="29">
        <v>230</v>
      </c>
    </row>
    <row r="104" spans="1:2" x14ac:dyDescent="0.3">
      <c r="A104" s="29">
        <v>3977333714</v>
      </c>
      <c r="B104" s="29">
        <v>292</v>
      </c>
    </row>
    <row r="105" spans="1:2" x14ac:dyDescent="0.3">
      <c r="A105" s="29">
        <v>3977333714</v>
      </c>
      <c r="B105" s="29">
        <v>213</v>
      </c>
    </row>
    <row r="106" spans="1:2" x14ac:dyDescent="0.3">
      <c r="A106" s="29">
        <v>3977333714</v>
      </c>
      <c r="B106" s="29">
        <v>318</v>
      </c>
    </row>
    <row r="107" spans="1:2" x14ac:dyDescent="0.3">
      <c r="A107" s="29">
        <v>3977333714</v>
      </c>
      <c r="B107" s="29">
        <v>323</v>
      </c>
    </row>
    <row r="108" spans="1:2" x14ac:dyDescent="0.3">
      <c r="A108" s="29">
        <v>3977333714</v>
      </c>
      <c r="B108" s="29">
        <v>237</v>
      </c>
    </row>
    <row r="109" spans="1:2" x14ac:dyDescent="0.3">
      <c r="A109" s="29">
        <v>3977333714</v>
      </c>
      <c r="B109" s="29">
        <v>259</v>
      </c>
    </row>
    <row r="110" spans="1:2" x14ac:dyDescent="0.3">
      <c r="A110" s="29">
        <v>3977333714</v>
      </c>
      <c r="B110" s="29">
        <v>312</v>
      </c>
    </row>
    <row r="111" spans="1:2" x14ac:dyDescent="0.3">
      <c r="A111" s="29">
        <v>4020332650</v>
      </c>
      <c r="B111" s="29">
        <v>501</v>
      </c>
    </row>
    <row r="112" spans="1:2" x14ac:dyDescent="0.3">
      <c r="A112" s="29">
        <v>4020332650</v>
      </c>
      <c r="B112" s="29">
        <v>77</v>
      </c>
    </row>
    <row r="113" spans="1:2" x14ac:dyDescent="0.3">
      <c r="A113" s="29">
        <v>4020332650</v>
      </c>
      <c r="B113" s="29">
        <v>322</v>
      </c>
    </row>
    <row r="114" spans="1:2" x14ac:dyDescent="0.3">
      <c r="A114" s="29">
        <v>4020332650</v>
      </c>
      <c r="B114" s="29">
        <v>478</v>
      </c>
    </row>
    <row r="115" spans="1:2" x14ac:dyDescent="0.3">
      <c r="A115" s="29">
        <v>4020332650</v>
      </c>
      <c r="B115" s="29">
        <v>226</v>
      </c>
    </row>
    <row r="116" spans="1:2" x14ac:dyDescent="0.3">
      <c r="A116" s="29">
        <v>4020332650</v>
      </c>
      <c r="B116" s="29">
        <v>385</v>
      </c>
    </row>
    <row r="117" spans="1:2" x14ac:dyDescent="0.3">
      <c r="A117" s="29">
        <v>4020332650</v>
      </c>
      <c r="B117" s="29">
        <v>364</v>
      </c>
    </row>
    <row r="118" spans="1:2" x14ac:dyDescent="0.3">
      <c r="A118" s="29">
        <v>4020332650</v>
      </c>
      <c r="B118" s="29">
        <v>442</v>
      </c>
    </row>
    <row r="119" spans="1:2" x14ac:dyDescent="0.3">
      <c r="A119" s="29">
        <v>4319703577</v>
      </c>
      <c r="B119" s="29">
        <v>535</v>
      </c>
    </row>
    <row r="120" spans="1:2" x14ac:dyDescent="0.3">
      <c r="A120" s="29">
        <v>4319703577</v>
      </c>
      <c r="B120" s="29">
        <v>465</v>
      </c>
    </row>
    <row r="121" spans="1:2" x14ac:dyDescent="0.3">
      <c r="A121" s="29">
        <v>4319703577</v>
      </c>
      <c r="B121" s="29">
        <v>506</v>
      </c>
    </row>
    <row r="122" spans="1:2" x14ac:dyDescent="0.3">
      <c r="A122" s="29">
        <v>4319703577</v>
      </c>
      <c r="B122" s="29">
        <v>515</v>
      </c>
    </row>
    <row r="123" spans="1:2" x14ac:dyDescent="0.3">
      <c r="A123" s="29">
        <v>4319703577</v>
      </c>
      <c r="B123" s="29">
        <v>461</v>
      </c>
    </row>
    <row r="124" spans="1:2" x14ac:dyDescent="0.3">
      <c r="A124" s="29">
        <v>4319703577</v>
      </c>
      <c r="B124" s="29">
        <v>523</v>
      </c>
    </row>
    <row r="125" spans="1:2" x14ac:dyDescent="0.3">
      <c r="A125" s="29">
        <v>4319703577</v>
      </c>
      <c r="B125" s="29">
        <v>59</v>
      </c>
    </row>
    <row r="126" spans="1:2" x14ac:dyDescent="0.3">
      <c r="A126" s="29">
        <v>4319703577</v>
      </c>
      <c r="B126" s="29">
        <v>533</v>
      </c>
    </row>
    <row r="127" spans="1:2" x14ac:dyDescent="0.3">
      <c r="A127" s="29">
        <v>4319703577</v>
      </c>
      <c r="B127" s="29">
        <v>692</v>
      </c>
    </row>
    <row r="128" spans="1:2" x14ac:dyDescent="0.3">
      <c r="A128" s="29">
        <v>4319703577</v>
      </c>
      <c r="B128" s="29">
        <v>467</v>
      </c>
    </row>
    <row r="129" spans="1:2" x14ac:dyDescent="0.3">
      <c r="A129" s="29">
        <v>4319703577</v>
      </c>
      <c r="B129" s="29">
        <v>488</v>
      </c>
    </row>
    <row r="130" spans="1:2" x14ac:dyDescent="0.3">
      <c r="A130" s="29">
        <v>4319703577</v>
      </c>
      <c r="B130" s="29">
        <v>505</v>
      </c>
    </row>
    <row r="131" spans="1:2" x14ac:dyDescent="0.3">
      <c r="A131" s="29">
        <v>4319703577</v>
      </c>
      <c r="B131" s="29">
        <v>286</v>
      </c>
    </row>
    <row r="132" spans="1:2" x14ac:dyDescent="0.3">
      <c r="A132" s="29">
        <v>4319703577</v>
      </c>
      <c r="B132" s="29">
        <v>497</v>
      </c>
    </row>
    <row r="133" spans="1:2" x14ac:dyDescent="0.3">
      <c r="A133" s="29">
        <v>4319703577</v>
      </c>
      <c r="B133" s="29">
        <v>523</v>
      </c>
    </row>
    <row r="134" spans="1:2" x14ac:dyDescent="0.3">
      <c r="A134" s="29">
        <v>4319703577</v>
      </c>
      <c r="B134" s="29">
        <v>490</v>
      </c>
    </row>
    <row r="135" spans="1:2" x14ac:dyDescent="0.3">
      <c r="A135" s="29">
        <v>4319703577</v>
      </c>
      <c r="B135" s="29">
        <v>484</v>
      </c>
    </row>
    <row r="136" spans="1:2" x14ac:dyDescent="0.3">
      <c r="A136" s="29">
        <v>4319703577</v>
      </c>
      <c r="B136" s="29">
        <v>478</v>
      </c>
    </row>
    <row r="137" spans="1:2" x14ac:dyDescent="0.3">
      <c r="A137" s="29">
        <v>4319703577</v>
      </c>
      <c r="B137" s="29">
        <v>474</v>
      </c>
    </row>
    <row r="138" spans="1:2" x14ac:dyDescent="0.3">
      <c r="A138" s="29">
        <v>4319703577</v>
      </c>
      <c r="B138" s="29">
        <v>450</v>
      </c>
    </row>
    <row r="139" spans="1:2" x14ac:dyDescent="0.3">
      <c r="A139" s="29">
        <v>4319703577</v>
      </c>
      <c r="B139" s="29">
        <v>507</v>
      </c>
    </row>
    <row r="140" spans="1:2" x14ac:dyDescent="0.3">
      <c r="A140" s="29">
        <v>4319703577</v>
      </c>
      <c r="B140" s="29">
        <v>602</v>
      </c>
    </row>
    <row r="141" spans="1:2" x14ac:dyDescent="0.3">
      <c r="A141" s="29">
        <v>4319703577</v>
      </c>
      <c r="B141" s="29">
        <v>535</v>
      </c>
    </row>
    <row r="142" spans="1:2" x14ac:dyDescent="0.3">
      <c r="A142" s="29">
        <v>4319703577</v>
      </c>
      <c r="B142" s="29">
        <v>487</v>
      </c>
    </row>
    <row r="143" spans="1:2" x14ac:dyDescent="0.3">
      <c r="A143" s="29">
        <v>4319703577</v>
      </c>
      <c r="B143" s="29">
        <v>529</v>
      </c>
    </row>
    <row r="144" spans="1:2" x14ac:dyDescent="0.3">
      <c r="A144" s="29">
        <v>4319703577</v>
      </c>
      <c r="B144" s="29">
        <v>302</v>
      </c>
    </row>
    <row r="145" spans="1:2" x14ac:dyDescent="0.3">
      <c r="A145" s="29">
        <v>4388161847</v>
      </c>
      <c r="B145" s="29">
        <v>499</v>
      </c>
    </row>
    <row r="146" spans="1:2" x14ac:dyDescent="0.3">
      <c r="A146" s="29">
        <v>4388161847</v>
      </c>
      <c r="B146" s="29">
        <v>426</v>
      </c>
    </row>
    <row r="147" spans="1:2" x14ac:dyDescent="0.3">
      <c r="A147" s="29">
        <v>4388161847</v>
      </c>
      <c r="B147" s="29">
        <v>619</v>
      </c>
    </row>
    <row r="148" spans="1:2" x14ac:dyDescent="0.3">
      <c r="A148" s="29">
        <v>4388161847</v>
      </c>
      <c r="B148" s="29">
        <v>99</v>
      </c>
    </row>
    <row r="149" spans="1:2" x14ac:dyDescent="0.3">
      <c r="A149" s="29">
        <v>4388161847</v>
      </c>
      <c r="B149" s="29">
        <v>329</v>
      </c>
    </row>
    <row r="150" spans="1:2" x14ac:dyDescent="0.3">
      <c r="A150" s="29">
        <v>4388161847</v>
      </c>
      <c r="B150" s="29">
        <v>421</v>
      </c>
    </row>
    <row r="151" spans="1:2" x14ac:dyDescent="0.3">
      <c r="A151" s="29">
        <v>4388161847</v>
      </c>
      <c r="B151" s="29">
        <v>442</v>
      </c>
    </row>
    <row r="152" spans="1:2" x14ac:dyDescent="0.3">
      <c r="A152" s="29">
        <v>4388161847</v>
      </c>
      <c r="B152" s="29">
        <v>82</v>
      </c>
    </row>
    <row r="153" spans="1:2" x14ac:dyDescent="0.3">
      <c r="A153" s="29">
        <v>4388161847</v>
      </c>
      <c r="B153" s="29">
        <v>478</v>
      </c>
    </row>
    <row r="154" spans="1:2" x14ac:dyDescent="0.3">
      <c r="A154" s="29">
        <v>4388161847</v>
      </c>
      <c r="B154" s="29">
        <v>552</v>
      </c>
    </row>
    <row r="155" spans="1:2" x14ac:dyDescent="0.3">
      <c r="A155" s="29">
        <v>4388161847</v>
      </c>
      <c r="B155" s="29">
        <v>319</v>
      </c>
    </row>
    <row r="156" spans="1:2" x14ac:dyDescent="0.3">
      <c r="A156" s="29">
        <v>4388161847</v>
      </c>
      <c r="B156" s="29">
        <v>439</v>
      </c>
    </row>
    <row r="157" spans="1:2" x14ac:dyDescent="0.3">
      <c r="A157" s="29">
        <v>4388161847</v>
      </c>
      <c r="B157" s="29">
        <v>428</v>
      </c>
    </row>
    <row r="158" spans="1:2" x14ac:dyDescent="0.3">
      <c r="A158" s="29">
        <v>4388161847</v>
      </c>
      <c r="B158" s="29">
        <v>409</v>
      </c>
    </row>
    <row r="159" spans="1:2" x14ac:dyDescent="0.3">
      <c r="A159" s="29">
        <v>4388161847</v>
      </c>
      <c r="B159" s="29">
        <v>547</v>
      </c>
    </row>
    <row r="160" spans="1:2" x14ac:dyDescent="0.3">
      <c r="A160" s="29">
        <v>4388161847</v>
      </c>
      <c r="B160" s="29">
        <v>368</v>
      </c>
    </row>
    <row r="161" spans="1:2" x14ac:dyDescent="0.3">
      <c r="A161" s="29">
        <v>4388161847</v>
      </c>
      <c r="B161" s="29">
        <v>390</v>
      </c>
    </row>
    <row r="162" spans="1:2" x14ac:dyDescent="0.3">
      <c r="A162" s="29">
        <v>4388161847</v>
      </c>
      <c r="B162" s="29">
        <v>471</v>
      </c>
    </row>
    <row r="163" spans="1:2" x14ac:dyDescent="0.3">
      <c r="A163" s="29">
        <v>4388161847</v>
      </c>
      <c r="B163" s="29">
        <v>471</v>
      </c>
    </row>
    <row r="164" spans="1:2" x14ac:dyDescent="0.3">
      <c r="A164" s="29">
        <v>4388161847</v>
      </c>
      <c r="B164" s="29">
        <v>472</v>
      </c>
    </row>
    <row r="165" spans="1:2" x14ac:dyDescent="0.3">
      <c r="A165" s="29">
        <v>4388161847</v>
      </c>
      <c r="B165" s="29">
        <v>529</v>
      </c>
    </row>
    <row r="166" spans="1:2" x14ac:dyDescent="0.3">
      <c r="A166" s="29">
        <v>4388161847</v>
      </c>
      <c r="B166" s="29">
        <v>62</v>
      </c>
    </row>
    <row r="167" spans="1:2" x14ac:dyDescent="0.3">
      <c r="A167" s="29">
        <v>4388161847</v>
      </c>
      <c r="B167" s="29">
        <v>354</v>
      </c>
    </row>
    <row r="168" spans="1:2" x14ac:dyDescent="0.3">
      <c r="A168" s="29">
        <v>4388161847</v>
      </c>
      <c r="B168" s="29">
        <v>469</v>
      </c>
    </row>
    <row r="169" spans="1:2" x14ac:dyDescent="0.3">
      <c r="A169" s="29">
        <v>4445114986</v>
      </c>
      <c r="B169" s="29">
        <v>429</v>
      </c>
    </row>
    <row r="170" spans="1:2" x14ac:dyDescent="0.3">
      <c r="A170" s="29">
        <v>4445114986</v>
      </c>
      <c r="B170" s="29">
        <v>370</v>
      </c>
    </row>
    <row r="171" spans="1:2" x14ac:dyDescent="0.3">
      <c r="A171" s="29">
        <v>4445114986</v>
      </c>
      <c r="B171" s="29">
        <v>441</v>
      </c>
    </row>
    <row r="172" spans="1:2" x14ac:dyDescent="0.3">
      <c r="A172" s="29">
        <v>4445114986</v>
      </c>
      <c r="B172" s="29">
        <v>337</v>
      </c>
    </row>
    <row r="173" spans="1:2" x14ac:dyDescent="0.3">
      <c r="A173" s="29">
        <v>4445114986</v>
      </c>
      <c r="B173" s="29">
        <v>462</v>
      </c>
    </row>
    <row r="174" spans="1:2" x14ac:dyDescent="0.3">
      <c r="A174" s="29">
        <v>4445114986</v>
      </c>
      <c r="B174" s="29">
        <v>98</v>
      </c>
    </row>
    <row r="175" spans="1:2" x14ac:dyDescent="0.3">
      <c r="A175" s="29">
        <v>4445114986</v>
      </c>
      <c r="B175" s="29">
        <v>388</v>
      </c>
    </row>
    <row r="176" spans="1:2" x14ac:dyDescent="0.3">
      <c r="A176" s="29">
        <v>4445114986</v>
      </c>
      <c r="B176" s="29">
        <v>439</v>
      </c>
    </row>
    <row r="177" spans="1:2" x14ac:dyDescent="0.3">
      <c r="A177" s="29">
        <v>4445114986</v>
      </c>
      <c r="B177" s="29">
        <v>436</v>
      </c>
    </row>
    <row r="178" spans="1:2" x14ac:dyDescent="0.3">
      <c r="A178" s="29">
        <v>4445114986</v>
      </c>
      <c r="B178" s="29">
        <v>388</v>
      </c>
    </row>
    <row r="179" spans="1:2" x14ac:dyDescent="0.3">
      <c r="A179" s="29">
        <v>4445114986</v>
      </c>
      <c r="B179" s="29">
        <v>328</v>
      </c>
    </row>
    <row r="180" spans="1:2" x14ac:dyDescent="0.3">
      <c r="A180" s="29">
        <v>4445114986</v>
      </c>
      <c r="B180" s="29">
        <v>353</v>
      </c>
    </row>
    <row r="181" spans="1:2" x14ac:dyDescent="0.3">
      <c r="A181" s="29">
        <v>4445114986</v>
      </c>
      <c r="B181" s="29">
        <v>332</v>
      </c>
    </row>
    <row r="182" spans="1:2" x14ac:dyDescent="0.3">
      <c r="A182" s="29">
        <v>4445114986</v>
      </c>
      <c r="B182" s="29">
        <v>419</v>
      </c>
    </row>
    <row r="183" spans="1:2" x14ac:dyDescent="0.3">
      <c r="A183" s="29">
        <v>4445114986</v>
      </c>
      <c r="B183" s="29">
        <v>106</v>
      </c>
    </row>
    <row r="184" spans="1:2" x14ac:dyDescent="0.3">
      <c r="A184" s="29">
        <v>4445114986</v>
      </c>
      <c r="B184" s="29">
        <v>322</v>
      </c>
    </row>
    <row r="185" spans="1:2" x14ac:dyDescent="0.3">
      <c r="A185" s="29">
        <v>4445114986</v>
      </c>
      <c r="B185" s="29">
        <v>439</v>
      </c>
    </row>
    <row r="186" spans="1:2" x14ac:dyDescent="0.3">
      <c r="A186" s="29">
        <v>4445114986</v>
      </c>
      <c r="B186" s="29">
        <v>502</v>
      </c>
    </row>
    <row r="187" spans="1:2" x14ac:dyDescent="0.3">
      <c r="A187" s="29">
        <v>4445114986</v>
      </c>
      <c r="B187" s="29">
        <v>417</v>
      </c>
    </row>
    <row r="188" spans="1:2" x14ac:dyDescent="0.3">
      <c r="A188" s="29">
        <v>4445114986</v>
      </c>
      <c r="B188" s="29">
        <v>337</v>
      </c>
    </row>
    <row r="189" spans="1:2" x14ac:dyDescent="0.3">
      <c r="A189" s="29">
        <v>4445114986</v>
      </c>
      <c r="B189" s="29">
        <v>462</v>
      </c>
    </row>
    <row r="190" spans="1:2" x14ac:dyDescent="0.3">
      <c r="A190" s="29">
        <v>4445114986</v>
      </c>
      <c r="B190" s="29">
        <v>374</v>
      </c>
    </row>
    <row r="191" spans="1:2" x14ac:dyDescent="0.3">
      <c r="A191" s="29">
        <v>4445114986</v>
      </c>
      <c r="B191" s="29">
        <v>401</v>
      </c>
    </row>
    <row r="192" spans="1:2" x14ac:dyDescent="0.3">
      <c r="A192" s="29">
        <v>4445114986</v>
      </c>
      <c r="B192" s="29">
        <v>361</v>
      </c>
    </row>
    <row r="193" spans="1:2" x14ac:dyDescent="0.3">
      <c r="A193" s="29">
        <v>4445114986</v>
      </c>
      <c r="B193" s="29">
        <v>457</v>
      </c>
    </row>
    <row r="194" spans="1:2" x14ac:dyDescent="0.3">
      <c r="A194" s="29">
        <v>4445114986</v>
      </c>
      <c r="B194" s="29">
        <v>405</v>
      </c>
    </row>
    <row r="195" spans="1:2" x14ac:dyDescent="0.3">
      <c r="A195" s="29">
        <v>4445114986</v>
      </c>
      <c r="B195" s="29">
        <v>499</v>
      </c>
    </row>
    <row r="196" spans="1:2" x14ac:dyDescent="0.3">
      <c r="A196" s="29">
        <v>4445114986</v>
      </c>
      <c r="B196" s="29">
        <v>483</v>
      </c>
    </row>
    <row r="197" spans="1:2" x14ac:dyDescent="0.3">
      <c r="A197" s="29">
        <v>4558609924</v>
      </c>
      <c r="B197" s="29">
        <v>126</v>
      </c>
    </row>
    <row r="198" spans="1:2" x14ac:dyDescent="0.3">
      <c r="A198" s="29">
        <v>4558609924</v>
      </c>
      <c r="B198" s="29">
        <v>103</v>
      </c>
    </row>
    <row r="199" spans="1:2" x14ac:dyDescent="0.3">
      <c r="A199" s="29">
        <v>4558609924</v>
      </c>
      <c r="B199" s="29">
        <v>171</v>
      </c>
    </row>
    <row r="200" spans="1:2" x14ac:dyDescent="0.3">
      <c r="A200" s="29">
        <v>4558609924</v>
      </c>
      <c r="B200" s="29">
        <v>115</v>
      </c>
    </row>
    <row r="201" spans="1:2" x14ac:dyDescent="0.3">
      <c r="A201" s="29">
        <v>4558609924</v>
      </c>
      <c r="B201" s="29">
        <v>123</v>
      </c>
    </row>
    <row r="202" spans="1:2" x14ac:dyDescent="0.3">
      <c r="A202" s="29">
        <v>4702921684</v>
      </c>
      <c r="B202" s="29">
        <v>425</v>
      </c>
    </row>
    <row r="203" spans="1:2" x14ac:dyDescent="0.3">
      <c r="A203" s="29">
        <v>4702921684</v>
      </c>
      <c r="B203" s="29">
        <v>400</v>
      </c>
    </row>
    <row r="204" spans="1:2" x14ac:dyDescent="0.3">
      <c r="A204" s="29">
        <v>4702921684</v>
      </c>
      <c r="B204" s="29">
        <v>384</v>
      </c>
    </row>
    <row r="205" spans="1:2" x14ac:dyDescent="0.3">
      <c r="A205" s="29">
        <v>4702921684</v>
      </c>
      <c r="B205" s="29">
        <v>253</v>
      </c>
    </row>
    <row r="206" spans="1:2" x14ac:dyDescent="0.3">
      <c r="A206" s="29">
        <v>4702921684</v>
      </c>
      <c r="B206" s="29">
        <v>382</v>
      </c>
    </row>
    <row r="207" spans="1:2" x14ac:dyDescent="0.3">
      <c r="A207" s="29">
        <v>4702921684</v>
      </c>
      <c r="B207" s="29">
        <v>591</v>
      </c>
    </row>
    <row r="208" spans="1:2" x14ac:dyDescent="0.3">
      <c r="A208" s="29">
        <v>4702921684</v>
      </c>
      <c r="B208" s="29">
        <v>293</v>
      </c>
    </row>
    <row r="209" spans="1:2" x14ac:dyDescent="0.3">
      <c r="A209" s="29">
        <v>4702921684</v>
      </c>
      <c r="B209" s="29">
        <v>457</v>
      </c>
    </row>
    <row r="210" spans="1:2" x14ac:dyDescent="0.3">
      <c r="A210" s="29">
        <v>4702921684</v>
      </c>
      <c r="B210" s="29">
        <v>454</v>
      </c>
    </row>
    <row r="211" spans="1:2" x14ac:dyDescent="0.3">
      <c r="A211" s="29">
        <v>4702921684</v>
      </c>
      <c r="B211" s="29">
        <v>425</v>
      </c>
    </row>
    <row r="212" spans="1:2" x14ac:dyDescent="0.3">
      <c r="A212" s="29">
        <v>4702921684</v>
      </c>
      <c r="B212" s="29">
        <v>465</v>
      </c>
    </row>
    <row r="213" spans="1:2" x14ac:dyDescent="0.3">
      <c r="A213" s="29">
        <v>4702921684</v>
      </c>
      <c r="B213" s="29">
        <v>480</v>
      </c>
    </row>
    <row r="214" spans="1:2" x14ac:dyDescent="0.3">
      <c r="A214" s="29">
        <v>4702921684</v>
      </c>
      <c r="B214" s="29">
        <v>370</v>
      </c>
    </row>
    <row r="215" spans="1:2" x14ac:dyDescent="0.3">
      <c r="A215" s="29">
        <v>4702921684</v>
      </c>
      <c r="B215" s="29">
        <v>421</v>
      </c>
    </row>
    <row r="216" spans="1:2" x14ac:dyDescent="0.3">
      <c r="A216" s="29">
        <v>4702921684</v>
      </c>
      <c r="B216" s="29">
        <v>432</v>
      </c>
    </row>
    <row r="217" spans="1:2" x14ac:dyDescent="0.3">
      <c r="A217" s="29">
        <v>4702921684</v>
      </c>
      <c r="B217" s="29">
        <v>442</v>
      </c>
    </row>
    <row r="218" spans="1:2" x14ac:dyDescent="0.3">
      <c r="A218" s="29">
        <v>4702921684</v>
      </c>
      <c r="B218" s="29">
        <v>433</v>
      </c>
    </row>
    <row r="219" spans="1:2" x14ac:dyDescent="0.3">
      <c r="A219" s="29">
        <v>4702921684</v>
      </c>
      <c r="B219" s="29">
        <v>479</v>
      </c>
    </row>
    <row r="220" spans="1:2" x14ac:dyDescent="0.3">
      <c r="A220" s="29">
        <v>4702921684</v>
      </c>
      <c r="B220" s="29">
        <v>327</v>
      </c>
    </row>
    <row r="221" spans="1:2" x14ac:dyDescent="0.3">
      <c r="A221" s="29">
        <v>4702921684</v>
      </c>
      <c r="B221" s="29">
        <v>412</v>
      </c>
    </row>
    <row r="222" spans="1:2" x14ac:dyDescent="0.3">
      <c r="A222" s="29">
        <v>4702921684</v>
      </c>
      <c r="B222" s="29">
        <v>414</v>
      </c>
    </row>
    <row r="223" spans="1:2" x14ac:dyDescent="0.3">
      <c r="A223" s="29">
        <v>4702921684</v>
      </c>
      <c r="B223" s="29">
        <v>404</v>
      </c>
    </row>
    <row r="224" spans="1:2" x14ac:dyDescent="0.3">
      <c r="A224" s="29">
        <v>4702921684</v>
      </c>
      <c r="B224" s="29">
        <v>520</v>
      </c>
    </row>
    <row r="225" spans="1:2" x14ac:dyDescent="0.3">
      <c r="A225" s="29">
        <v>4702921684</v>
      </c>
      <c r="B225" s="29">
        <v>520</v>
      </c>
    </row>
    <row r="226" spans="1:2" x14ac:dyDescent="0.3">
      <c r="A226" s="29">
        <v>4702921684</v>
      </c>
      <c r="B226" s="29">
        <v>435</v>
      </c>
    </row>
    <row r="227" spans="1:2" x14ac:dyDescent="0.3">
      <c r="A227" s="29">
        <v>4702921684</v>
      </c>
      <c r="B227" s="29">
        <v>416</v>
      </c>
    </row>
    <row r="228" spans="1:2" x14ac:dyDescent="0.3">
      <c r="A228" s="29">
        <v>4702921684</v>
      </c>
      <c r="B228" s="29">
        <v>354</v>
      </c>
    </row>
    <row r="229" spans="1:2" x14ac:dyDescent="0.3">
      <c r="A229" s="29">
        <v>4702921684</v>
      </c>
      <c r="B229" s="29">
        <v>404</v>
      </c>
    </row>
    <row r="230" spans="1:2" x14ac:dyDescent="0.3">
      <c r="A230" s="29">
        <v>5553957443</v>
      </c>
      <c r="B230" s="29">
        <v>441</v>
      </c>
    </row>
    <row r="231" spans="1:2" x14ac:dyDescent="0.3">
      <c r="A231" s="29">
        <v>5553957443</v>
      </c>
      <c r="B231" s="29">
        <v>455</v>
      </c>
    </row>
    <row r="232" spans="1:2" x14ac:dyDescent="0.3">
      <c r="A232" s="29">
        <v>5553957443</v>
      </c>
      <c r="B232" s="29">
        <v>357</v>
      </c>
    </row>
    <row r="233" spans="1:2" x14ac:dyDescent="0.3">
      <c r="A233" s="29">
        <v>5553957443</v>
      </c>
      <c r="B233" s="29">
        <v>377</v>
      </c>
    </row>
    <row r="234" spans="1:2" x14ac:dyDescent="0.3">
      <c r="A234" s="29">
        <v>5553957443</v>
      </c>
      <c r="B234" s="29">
        <v>651</v>
      </c>
    </row>
    <row r="235" spans="1:2" x14ac:dyDescent="0.3">
      <c r="A235" s="29">
        <v>5553957443</v>
      </c>
      <c r="B235" s="29">
        <v>350</v>
      </c>
    </row>
    <row r="236" spans="1:2" x14ac:dyDescent="0.3">
      <c r="A236" s="29">
        <v>5553957443</v>
      </c>
      <c r="B236" s="29">
        <v>520</v>
      </c>
    </row>
    <row r="237" spans="1:2" x14ac:dyDescent="0.3">
      <c r="A237" s="29">
        <v>5553957443</v>
      </c>
      <c r="B237" s="29">
        <v>357</v>
      </c>
    </row>
    <row r="238" spans="1:2" x14ac:dyDescent="0.3">
      <c r="A238" s="29">
        <v>5553957443</v>
      </c>
      <c r="B238" s="29">
        <v>658</v>
      </c>
    </row>
    <row r="239" spans="1:2" x14ac:dyDescent="0.3">
      <c r="A239" s="29">
        <v>5553957443</v>
      </c>
      <c r="B239" s="29">
        <v>399</v>
      </c>
    </row>
    <row r="240" spans="1:2" x14ac:dyDescent="0.3">
      <c r="A240" s="29">
        <v>5553957443</v>
      </c>
      <c r="B240" s="29">
        <v>322</v>
      </c>
    </row>
    <row r="241" spans="1:2" x14ac:dyDescent="0.3">
      <c r="A241" s="29">
        <v>5553957443</v>
      </c>
      <c r="B241" s="29">
        <v>631</v>
      </c>
    </row>
    <row r="242" spans="1:2" x14ac:dyDescent="0.3">
      <c r="A242" s="29">
        <v>5553957443</v>
      </c>
      <c r="B242" s="29">
        <v>553</v>
      </c>
    </row>
    <row r="243" spans="1:2" x14ac:dyDescent="0.3">
      <c r="A243" s="29">
        <v>5553957443</v>
      </c>
      <c r="B243" s="29">
        <v>433</v>
      </c>
    </row>
    <row r="244" spans="1:2" x14ac:dyDescent="0.3">
      <c r="A244" s="29">
        <v>5553957443</v>
      </c>
      <c r="B244" s="29">
        <v>412</v>
      </c>
    </row>
    <row r="245" spans="1:2" x14ac:dyDescent="0.3">
      <c r="A245" s="29">
        <v>5553957443</v>
      </c>
      <c r="B245" s="29">
        <v>347</v>
      </c>
    </row>
    <row r="246" spans="1:2" x14ac:dyDescent="0.3">
      <c r="A246" s="29">
        <v>5553957443</v>
      </c>
      <c r="B246" s="29">
        <v>421</v>
      </c>
    </row>
    <row r="247" spans="1:2" x14ac:dyDescent="0.3">
      <c r="A247" s="29">
        <v>5553957443</v>
      </c>
      <c r="B247" s="29">
        <v>450</v>
      </c>
    </row>
    <row r="248" spans="1:2" x14ac:dyDescent="0.3">
      <c r="A248" s="29">
        <v>5553957443</v>
      </c>
      <c r="B248" s="29">
        <v>775</v>
      </c>
    </row>
    <row r="249" spans="1:2" x14ac:dyDescent="0.3">
      <c r="A249" s="29">
        <v>5553957443</v>
      </c>
      <c r="B249" s="29">
        <v>622</v>
      </c>
    </row>
    <row r="250" spans="1:2" x14ac:dyDescent="0.3">
      <c r="A250" s="29">
        <v>5553957443</v>
      </c>
      <c r="B250" s="29">
        <v>409</v>
      </c>
    </row>
    <row r="251" spans="1:2" x14ac:dyDescent="0.3">
      <c r="A251" s="29">
        <v>5553957443</v>
      </c>
      <c r="B251" s="29">
        <v>380</v>
      </c>
    </row>
    <row r="252" spans="1:2" x14ac:dyDescent="0.3">
      <c r="A252" s="29">
        <v>5553957443</v>
      </c>
      <c r="B252" s="29">
        <v>447</v>
      </c>
    </row>
    <row r="253" spans="1:2" x14ac:dyDescent="0.3">
      <c r="A253" s="29">
        <v>5553957443</v>
      </c>
      <c r="B253" s="29">
        <v>419</v>
      </c>
    </row>
    <row r="254" spans="1:2" x14ac:dyDescent="0.3">
      <c r="A254" s="29">
        <v>5553957443</v>
      </c>
      <c r="B254" s="29">
        <v>400</v>
      </c>
    </row>
    <row r="255" spans="1:2" x14ac:dyDescent="0.3">
      <c r="A255" s="29">
        <v>5553957443</v>
      </c>
      <c r="B255" s="29">
        <v>442</v>
      </c>
    </row>
    <row r="256" spans="1:2" x14ac:dyDescent="0.3">
      <c r="A256" s="29">
        <v>5553957443</v>
      </c>
      <c r="B256" s="29">
        <v>568</v>
      </c>
    </row>
    <row r="257" spans="1:2" x14ac:dyDescent="0.3">
      <c r="A257" s="29">
        <v>5553957443</v>
      </c>
      <c r="B257" s="29">
        <v>453</v>
      </c>
    </row>
    <row r="258" spans="1:2" x14ac:dyDescent="0.3">
      <c r="A258" s="29">
        <v>5553957443</v>
      </c>
      <c r="B258" s="29">
        <v>418</v>
      </c>
    </row>
    <row r="259" spans="1:2" x14ac:dyDescent="0.3">
      <c r="A259" s="29">
        <v>5553957443</v>
      </c>
      <c r="B259" s="29">
        <v>463</v>
      </c>
    </row>
    <row r="260" spans="1:2" x14ac:dyDescent="0.3">
      <c r="A260" s="29">
        <v>5553957443</v>
      </c>
      <c r="B260" s="29">
        <v>438</v>
      </c>
    </row>
    <row r="261" spans="1:2" x14ac:dyDescent="0.3">
      <c r="A261" s="29">
        <v>5577150313</v>
      </c>
      <c r="B261" s="29">
        <v>419</v>
      </c>
    </row>
    <row r="262" spans="1:2" x14ac:dyDescent="0.3">
      <c r="A262" s="29">
        <v>5577150313</v>
      </c>
      <c r="B262" s="29">
        <v>432</v>
      </c>
    </row>
    <row r="263" spans="1:2" x14ac:dyDescent="0.3">
      <c r="A263" s="29">
        <v>5577150313</v>
      </c>
      <c r="B263" s="29">
        <v>477</v>
      </c>
    </row>
    <row r="264" spans="1:2" x14ac:dyDescent="0.3">
      <c r="A264" s="29">
        <v>5577150313</v>
      </c>
      <c r="B264" s="29">
        <v>392</v>
      </c>
    </row>
    <row r="265" spans="1:2" x14ac:dyDescent="0.3">
      <c r="A265" s="29">
        <v>5577150313</v>
      </c>
      <c r="B265" s="29">
        <v>406</v>
      </c>
    </row>
    <row r="266" spans="1:2" x14ac:dyDescent="0.3">
      <c r="A266" s="29">
        <v>5577150313</v>
      </c>
      <c r="B266" s="29">
        <v>549</v>
      </c>
    </row>
    <row r="267" spans="1:2" x14ac:dyDescent="0.3">
      <c r="A267" s="29">
        <v>5577150313</v>
      </c>
      <c r="B267" s="29">
        <v>527</v>
      </c>
    </row>
    <row r="268" spans="1:2" x14ac:dyDescent="0.3">
      <c r="A268" s="29">
        <v>5577150313</v>
      </c>
      <c r="B268" s="29">
        <v>449</v>
      </c>
    </row>
    <row r="269" spans="1:2" x14ac:dyDescent="0.3">
      <c r="A269" s="29">
        <v>5577150313</v>
      </c>
      <c r="B269" s="29">
        <v>447</v>
      </c>
    </row>
    <row r="270" spans="1:2" x14ac:dyDescent="0.3">
      <c r="A270" s="29">
        <v>5577150313</v>
      </c>
      <c r="B270" s="29">
        <v>414</v>
      </c>
    </row>
    <row r="271" spans="1:2" x14ac:dyDescent="0.3">
      <c r="A271" s="29">
        <v>5577150313</v>
      </c>
      <c r="B271" s="29">
        <v>338</v>
      </c>
    </row>
    <row r="272" spans="1:2" x14ac:dyDescent="0.3">
      <c r="A272" s="29">
        <v>5577150313</v>
      </c>
      <c r="B272" s="29">
        <v>384</v>
      </c>
    </row>
    <row r="273" spans="1:2" x14ac:dyDescent="0.3">
      <c r="A273" s="29">
        <v>5577150313</v>
      </c>
      <c r="B273" s="29">
        <v>543</v>
      </c>
    </row>
    <row r="274" spans="1:2" x14ac:dyDescent="0.3">
      <c r="A274" s="29">
        <v>5577150313</v>
      </c>
      <c r="B274" s="29">
        <v>421</v>
      </c>
    </row>
    <row r="275" spans="1:2" x14ac:dyDescent="0.3">
      <c r="A275" s="29">
        <v>5577150313</v>
      </c>
      <c r="B275" s="29">
        <v>354</v>
      </c>
    </row>
    <row r="276" spans="1:2" x14ac:dyDescent="0.3">
      <c r="A276" s="29">
        <v>5577150313</v>
      </c>
      <c r="B276" s="29">
        <v>424</v>
      </c>
    </row>
    <row r="277" spans="1:2" x14ac:dyDescent="0.3">
      <c r="A277" s="29">
        <v>5577150313</v>
      </c>
      <c r="B277" s="29">
        <v>361</v>
      </c>
    </row>
    <row r="278" spans="1:2" x14ac:dyDescent="0.3">
      <c r="A278" s="29">
        <v>5577150313</v>
      </c>
      <c r="B278" s="29">
        <v>459</v>
      </c>
    </row>
    <row r="279" spans="1:2" x14ac:dyDescent="0.3">
      <c r="A279" s="29">
        <v>5577150313</v>
      </c>
      <c r="B279" s="29">
        <v>412</v>
      </c>
    </row>
    <row r="280" spans="1:2" x14ac:dyDescent="0.3">
      <c r="A280" s="29">
        <v>5577150313</v>
      </c>
      <c r="B280" s="29">
        <v>379</v>
      </c>
    </row>
    <row r="281" spans="1:2" x14ac:dyDescent="0.3">
      <c r="A281" s="29">
        <v>5577150313</v>
      </c>
      <c r="B281" s="29">
        <v>525</v>
      </c>
    </row>
    <row r="282" spans="1:2" x14ac:dyDescent="0.3">
      <c r="A282" s="29">
        <v>5577150313</v>
      </c>
      <c r="B282" s="29">
        <v>508</v>
      </c>
    </row>
    <row r="283" spans="1:2" x14ac:dyDescent="0.3">
      <c r="A283" s="29">
        <v>5577150313</v>
      </c>
      <c r="B283" s="29">
        <v>603</v>
      </c>
    </row>
    <row r="284" spans="1:2" x14ac:dyDescent="0.3">
      <c r="A284" s="29">
        <v>5577150313</v>
      </c>
      <c r="B284" s="29">
        <v>74</v>
      </c>
    </row>
    <row r="285" spans="1:2" x14ac:dyDescent="0.3">
      <c r="A285" s="29">
        <v>5577150313</v>
      </c>
      <c r="B285" s="29">
        <v>504</v>
      </c>
    </row>
    <row r="286" spans="1:2" x14ac:dyDescent="0.3">
      <c r="A286" s="29">
        <v>5577150313</v>
      </c>
      <c r="B286" s="29">
        <v>431</v>
      </c>
    </row>
    <row r="287" spans="1:2" x14ac:dyDescent="0.3">
      <c r="A287" s="29">
        <v>6117666160</v>
      </c>
      <c r="B287" s="29">
        <v>380</v>
      </c>
    </row>
    <row r="288" spans="1:2" x14ac:dyDescent="0.3">
      <c r="A288" s="29">
        <v>6117666160</v>
      </c>
      <c r="B288" s="29">
        <v>336</v>
      </c>
    </row>
    <row r="289" spans="1:2" x14ac:dyDescent="0.3">
      <c r="A289" s="29">
        <v>6117666160</v>
      </c>
      <c r="B289" s="29">
        <v>493</v>
      </c>
    </row>
    <row r="290" spans="1:2" x14ac:dyDescent="0.3">
      <c r="A290" s="29">
        <v>6117666160</v>
      </c>
      <c r="B290" s="29">
        <v>465</v>
      </c>
    </row>
    <row r="291" spans="1:2" x14ac:dyDescent="0.3">
      <c r="A291" s="29">
        <v>6117666160</v>
      </c>
      <c r="B291" s="29">
        <v>474</v>
      </c>
    </row>
    <row r="292" spans="1:2" x14ac:dyDescent="0.3">
      <c r="A292" s="29">
        <v>6117666160</v>
      </c>
      <c r="B292" s="29">
        <v>508</v>
      </c>
    </row>
    <row r="293" spans="1:2" x14ac:dyDescent="0.3">
      <c r="A293" s="29">
        <v>6117666160</v>
      </c>
      <c r="B293" s="29">
        <v>480</v>
      </c>
    </row>
    <row r="294" spans="1:2" x14ac:dyDescent="0.3">
      <c r="A294" s="29">
        <v>6117666160</v>
      </c>
      <c r="B294" s="29">
        <v>492</v>
      </c>
    </row>
    <row r="295" spans="1:2" x14ac:dyDescent="0.3">
      <c r="A295" s="29">
        <v>6117666160</v>
      </c>
      <c r="B295" s="29">
        <v>353</v>
      </c>
    </row>
    <row r="296" spans="1:2" x14ac:dyDescent="0.3">
      <c r="A296" s="29">
        <v>6117666160</v>
      </c>
      <c r="B296" s="29">
        <v>542</v>
      </c>
    </row>
    <row r="297" spans="1:2" x14ac:dyDescent="0.3">
      <c r="A297" s="29">
        <v>6117666160</v>
      </c>
      <c r="B297" s="29">
        <v>393</v>
      </c>
    </row>
    <row r="298" spans="1:2" x14ac:dyDescent="0.3">
      <c r="A298" s="29">
        <v>6117666160</v>
      </c>
      <c r="B298" s="29">
        <v>600</v>
      </c>
    </row>
    <row r="299" spans="1:2" x14ac:dyDescent="0.3">
      <c r="A299" s="29">
        <v>6117666160</v>
      </c>
      <c r="B299" s="29">
        <v>507</v>
      </c>
    </row>
    <row r="300" spans="1:2" x14ac:dyDescent="0.3">
      <c r="A300" s="29">
        <v>6117666160</v>
      </c>
      <c r="B300" s="29">
        <v>392</v>
      </c>
    </row>
    <row r="301" spans="1:2" x14ac:dyDescent="0.3">
      <c r="A301" s="29">
        <v>6117666160</v>
      </c>
      <c r="B301" s="29">
        <v>658</v>
      </c>
    </row>
    <row r="302" spans="1:2" x14ac:dyDescent="0.3">
      <c r="A302" s="29">
        <v>6117666160</v>
      </c>
      <c r="B302" s="29">
        <v>498</v>
      </c>
    </row>
    <row r="303" spans="1:2" x14ac:dyDescent="0.3">
      <c r="A303" s="29">
        <v>6117666160</v>
      </c>
      <c r="B303" s="29">
        <v>555</v>
      </c>
    </row>
    <row r="304" spans="1:2" x14ac:dyDescent="0.3">
      <c r="A304" s="29">
        <v>6117666160</v>
      </c>
      <c r="B304" s="29">
        <v>492</v>
      </c>
    </row>
    <row r="305" spans="1:2" x14ac:dyDescent="0.3">
      <c r="A305" s="29">
        <v>6775888955</v>
      </c>
      <c r="B305" s="29">
        <v>235</v>
      </c>
    </row>
    <row r="306" spans="1:2" x14ac:dyDescent="0.3">
      <c r="A306" s="29">
        <v>6775888955</v>
      </c>
      <c r="B306" s="29">
        <v>423</v>
      </c>
    </row>
    <row r="307" spans="1:2" x14ac:dyDescent="0.3">
      <c r="A307" s="29">
        <v>6775888955</v>
      </c>
      <c r="B307" s="29">
        <v>391</v>
      </c>
    </row>
    <row r="308" spans="1:2" x14ac:dyDescent="0.3">
      <c r="A308" s="29">
        <v>6962181067</v>
      </c>
      <c r="B308" s="29">
        <v>366</v>
      </c>
    </row>
    <row r="309" spans="1:2" x14ac:dyDescent="0.3">
      <c r="A309" s="29">
        <v>6962181067</v>
      </c>
      <c r="B309" s="29">
        <v>630</v>
      </c>
    </row>
    <row r="310" spans="1:2" x14ac:dyDescent="0.3">
      <c r="A310" s="29">
        <v>6962181067</v>
      </c>
      <c r="B310" s="29">
        <v>508</v>
      </c>
    </row>
    <row r="311" spans="1:2" x14ac:dyDescent="0.3">
      <c r="A311" s="29">
        <v>6962181067</v>
      </c>
      <c r="B311" s="29">
        <v>370</v>
      </c>
    </row>
    <row r="312" spans="1:2" x14ac:dyDescent="0.3">
      <c r="A312" s="29">
        <v>6962181067</v>
      </c>
      <c r="B312" s="29">
        <v>357</v>
      </c>
    </row>
    <row r="313" spans="1:2" x14ac:dyDescent="0.3">
      <c r="A313" s="29">
        <v>6962181067</v>
      </c>
      <c r="B313" s="29">
        <v>427</v>
      </c>
    </row>
    <row r="314" spans="1:2" x14ac:dyDescent="0.3">
      <c r="A314" s="29">
        <v>6962181067</v>
      </c>
      <c r="B314" s="29">
        <v>442</v>
      </c>
    </row>
    <row r="315" spans="1:2" x14ac:dyDescent="0.3">
      <c r="A315" s="29">
        <v>6962181067</v>
      </c>
      <c r="B315" s="29">
        <v>476</v>
      </c>
    </row>
    <row r="316" spans="1:2" x14ac:dyDescent="0.3">
      <c r="A316" s="29">
        <v>6962181067</v>
      </c>
      <c r="B316" s="29">
        <v>418</v>
      </c>
    </row>
    <row r="317" spans="1:2" x14ac:dyDescent="0.3">
      <c r="A317" s="29">
        <v>6962181067</v>
      </c>
      <c r="B317" s="29">
        <v>451</v>
      </c>
    </row>
    <row r="318" spans="1:2" x14ac:dyDescent="0.3">
      <c r="A318" s="29">
        <v>6962181067</v>
      </c>
      <c r="B318" s="29">
        <v>425</v>
      </c>
    </row>
    <row r="319" spans="1:2" x14ac:dyDescent="0.3">
      <c r="A319" s="29">
        <v>6962181067</v>
      </c>
      <c r="B319" s="29">
        <v>528</v>
      </c>
    </row>
    <row r="320" spans="1:2" x14ac:dyDescent="0.3">
      <c r="A320" s="29">
        <v>6962181067</v>
      </c>
      <c r="B320" s="29">
        <v>511</v>
      </c>
    </row>
    <row r="321" spans="1:2" x14ac:dyDescent="0.3">
      <c r="A321" s="29">
        <v>6962181067</v>
      </c>
      <c r="B321" s="29">
        <v>400</v>
      </c>
    </row>
    <row r="322" spans="1:2" x14ac:dyDescent="0.3">
      <c r="A322" s="29">
        <v>6962181067</v>
      </c>
      <c r="B322" s="29">
        <v>441</v>
      </c>
    </row>
    <row r="323" spans="1:2" x14ac:dyDescent="0.3">
      <c r="A323" s="29">
        <v>6962181067</v>
      </c>
      <c r="B323" s="29">
        <v>455</v>
      </c>
    </row>
    <row r="324" spans="1:2" x14ac:dyDescent="0.3">
      <c r="A324" s="29">
        <v>6962181067</v>
      </c>
      <c r="B324" s="29">
        <v>440</v>
      </c>
    </row>
    <row r="325" spans="1:2" x14ac:dyDescent="0.3">
      <c r="A325" s="29">
        <v>6962181067</v>
      </c>
      <c r="B325" s="29">
        <v>433</v>
      </c>
    </row>
    <row r="326" spans="1:2" x14ac:dyDescent="0.3">
      <c r="A326" s="29">
        <v>6962181067</v>
      </c>
      <c r="B326" s="29">
        <v>422</v>
      </c>
    </row>
    <row r="327" spans="1:2" x14ac:dyDescent="0.3">
      <c r="A327" s="29">
        <v>6962181067</v>
      </c>
      <c r="B327" s="29">
        <v>411</v>
      </c>
    </row>
    <row r="328" spans="1:2" x14ac:dyDescent="0.3">
      <c r="A328" s="29">
        <v>6962181067</v>
      </c>
      <c r="B328" s="29">
        <v>466</v>
      </c>
    </row>
    <row r="329" spans="1:2" x14ac:dyDescent="0.3">
      <c r="A329" s="29">
        <v>6962181067</v>
      </c>
      <c r="B329" s="29">
        <v>394</v>
      </c>
    </row>
    <row r="330" spans="1:2" x14ac:dyDescent="0.3">
      <c r="A330" s="29">
        <v>6962181067</v>
      </c>
      <c r="B330" s="29">
        <v>442</v>
      </c>
    </row>
    <row r="331" spans="1:2" x14ac:dyDescent="0.3">
      <c r="A331" s="29">
        <v>6962181067</v>
      </c>
      <c r="B331" s="29">
        <v>467</v>
      </c>
    </row>
    <row r="332" spans="1:2" x14ac:dyDescent="0.3">
      <c r="A332" s="29">
        <v>6962181067</v>
      </c>
      <c r="B332" s="29">
        <v>443</v>
      </c>
    </row>
    <row r="333" spans="1:2" x14ac:dyDescent="0.3">
      <c r="A333" s="29">
        <v>6962181067</v>
      </c>
      <c r="B333" s="29">
        <v>298</v>
      </c>
    </row>
    <row r="334" spans="1:2" x14ac:dyDescent="0.3">
      <c r="A334" s="29">
        <v>6962181067</v>
      </c>
      <c r="B334" s="29">
        <v>541</v>
      </c>
    </row>
    <row r="335" spans="1:2" x14ac:dyDescent="0.3">
      <c r="A335" s="29">
        <v>6962181067</v>
      </c>
      <c r="B335" s="29">
        <v>489</v>
      </c>
    </row>
    <row r="336" spans="1:2" x14ac:dyDescent="0.3">
      <c r="A336" s="29">
        <v>6962181067</v>
      </c>
      <c r="B336" s="29">
        <v>469</v>
      </c>
    </row>
    <row r="337" spans="1:2" x14ac:dyDescent="0.3">
      <c r="A337" s="29">
        <v>6962181067</v>
      </c>
      <c r="B337" s="29">
        <v>452</v>
      </c>
    </row>
    <row r="338" spans="1:2" x14ac:dyDescent="0.3">
      <c r="A338" s="29">
        <v>6962181067</v>
      </c>
      <c r="B338" s="29">
        <v>516</v>
      </c>
    </row>
    <row r="339" spans="1:2" x14ac:dyDescent="0.3">
      <c r="A339" s="29">
        <v>7007744171</v>
      </c>
      <c r="B339" s="29">
        <v>79</v>
      </c>
    </row>
    <row r="340" spans="1:2" x14ac:dyDescent="0.3">
      <c r="A340" s="29">
        <v>7007744171</v>
      </c>
      <c r="B340" s="29">
        <v>58</v>
      </c>
    </row>
    <row r="341" spans="1:2" x14ac:dyDescent="0.3">
      <c r="A341" s="29">
        <v>7086361926</v>
      </c>
      <c r="B341" s="29">
        <v>514</v>
      </c>
    </row>
    <row r="342" spans="1:2" x14ac:dyDescent="0.3">
      <c r="A342" s="29">
        <v>7086361926</v>
      </c>
      <c r="B342" s="29">
        <v>451</v>
      </c>
    </row>
    <row r="343" spans="1:2" x14ac:dyDescent="0.3">
      <c r="A343" s="29">
        <v>7086361926</v>
      </c>
      <c r="B343" s="29">
        <v>472</v>
      </c>
    </row>
    <row r="344" spans="1:2" x14ac:dyDescent="0.3">
      <c r="A344" s="29">
        <v>7086361926</v>
      </c>
      <c r="B344" s="29">
        <v>377</v>
      </c>
    </row>
    <row r="345" spans="1:2" x14ac:dyDescent="0.3">
      <c r="A345" s="29">
        <v>7086361926</v>
      </c>
      <c r="B345" s="29">
        <v>472</v>
      </c>
    </row>
    <row r="346" spans="1:2" x14ac:dyDescent="0.3">
      <c r="A346" s="29">
        <v>7086361926</v>
      </c>
      <c r="B346" s="29">
        <v>492</v>
      </c>
    </row>
    <row r="347" spans="1:2" x14ac:dyDescent="0.3">
      <c r="A347" s="29">
        <v>7086361926</v>
      </c>
      <c r="B347" s="29">
        <v>390</v>
      </c>
    </row>
    <row r="348" spans="1:2" x14ac:dyDescent="0.3">
      <c r="A348" s="29">
        <v>7086361926</v>
      </c>
      <c r="B348" s="29">
        <v>428</v>
      </c>
    </row>
    <row r="349" spans="1:2" x14ac:dyDescent="0.3">
      <c r="A349" s="29">
        <v>7086361926</v>
      </c>
      <c r="B349" s="29">
        <v>681</v>
      </c>
    </row>
    <row r="350" spans="1:2" x14ac:dyDescent="0.3">
      <c r="A350" s="29">
        <v>7086361926</v>
      </c>
      <c r="B350" s="29">
        <v>446</v>
      </c>
    </row>
    <row r="351" spans="1:2" x14ac:dyDescent="0.3">
      <c r="A351" s="29">
        <v>7086361926</v>
      </c>
      <c r="B351" s="29">
        <v>485</v>
      </c>
    </row>
    <row r="352" spans="1:2" x14ac:dyDescent="0.3">
      <c r="A352" s="29">
        <v>7086361926</v>
      </c>
      <c r="B352" s="29">
        <v>469</v>
      </c>
    </row>
    <row r="353" spans="1:2" x14ac:dyDescent="0.3">
      <c r="A353" s="29">
        <v>7086361926</v>
      </c>
      <c r="B353" s="29">
        <v>354</v>
      </c>
    </row>
    <row r="354" spans="1:2" x14ac:dyDescent="0.3">
      <c r="A354" s="29">
        <v>7086361926</v>
      </c>
      <c r="B354" s="29">
        <v>485</v>
      </c>
    </row>
    <row r="355" spans="1:2" x14ac:dyDescent="0.3">
      <c r="A355" s="29">
        <v>7086361926</v>
      </c>
      <c r="B355" s="29">
        <v>388</v>
      </c>
    </row>
    <row r="356" spans="1:2" x14ac:dyDescent="0.3">
      <c r="A356" s="29">
        <v>7086361926</v>
      </c>
      <c r="B356" s="29">
        <v>440</v>
      </c>
    </row>
    <row r="357" spans="1:2" x14ac:dyDescent="0.3">
      <c r="A357" s="29">
        <v>7086361926</v>
      </c>
      <c r="B357" s="29">
        <v>456</v>
      </c>
    </row>
    <row r="358" spans="1:2" x14ac:dyDescent="0.3">
      <c r="A358" s="29">
        <v>7086361926</v>
      </c>
      <c r="B358" s="29">
        <v>420</v>
      </c>
    </row>
    <row r="359" spans="1:2" x14ac:dyDescent="0.3">
      <c r="A359" s="29">
        <v>7086361926</v>
      </c>
      <c r="B359" s="29">
        <v>322</v>
      </c>
    </row>
    <row r="360" spans="1:2" x14ac:dyDescent="0.3">
      <c r="A360" s="29">
        <v>7086361926</v>
      </c>
      <c r="B360" s="29">
        <v>530</v>
      </c>
    </row>
    <row r="361" spans="1:2" x14ac:dyDescent="0.3">
      <c r="A361" s="29">
        <v>7086361926</v>
      </c>
      <c r="B361" s="29">
        <v>481</v>
      </c>
    </row>
    <row r="362" spans="1:2" x14ac:dyDescent="0.3">
      <c r="A362" s="29">
        <v>7086361926</v>
      </c>
      <c r="B362" s="29">
        <v>427</v>
      </c>
    </row>
    <row r="363" spans="1:2" x14ac:dyDescent="0.3">
      <c r="A363" s="29">
        <v>7086361926</v>
      </c>
      <c r="B363" s="29">
        <v>451</v>
      </c>
    </row>
    <row r="364" spans="1:2" x14ac:dyDescent="0.3">
      <c r="A364" s="29">
        <v>7086361926</v>
      </c>
      <c r="B364" s="29">
        <v>444</v>
      </c>
    </row>
    <row r="365" spans="1:2" x14ac:dyDescent="0.3">
      <c r="A365" s="29">
        <v>8053475328</v>
      </c>
      <c r="B365" s="29">
        <v>486</v>
      </c>
    </row>
    <row r="366" spans="1:2" x14ac:dyDescent="0.3">
      <c r="A366" s="29">
        <v>8053475328</v>
      </c>
      <c r="B366" s="29">
        <v>331</v>
      </c>
    </row>
    <row r="367" spans="1:2" x14ac:dyDescent="0.3">
      <c r="A367" s="29">
        <v>8053475328</v>
      </c>
      <c r="B367" s="29">
        <v>74</v>
      </c>
    </row>
    <row r="368" spans="1:2" x14ac:dyDescent="0.3">
      <c r="A368" s="29">
        <v>8378563200</v>
      </c>
      <c r="B368" s="29">
        <v>338</v>
      </c>
    </row>
    <row r="369" spans="1:2" x14ac:dyDescent="0.3">
      <c r="A369" s="29">
        <v>8378563200</v>
      </c>
      <c r="B369" s="29">
        <v>447</v>
      </c>
    </row>
    <row r="370" spans="1:2" x14ac:dyDescent="0.3">
      <c r="A370" s="29">
        <v>8378563200</v>
      </c>
      <c r="B370" s="29">
        <v>424</v>
      </c>
    </row>
    <row r="371" spans="1:2" x14ac:dyDescent="0.3">
      <c r="A371" s="29">
        <v>8378563200</v>
      </c>
      <c r="B371" s="29">
        <v>513</v>
      </c>
    </row>
    <row r="372" spans="1:2" x14ac:dyDescent="0.3">
      <c r="A372" s="29">
        <v>8378563200</v>
      </c>
      <c r="B372" s="29">
        <v>611</v>
      </c>
    </row>
    <row r="373" spans="1:2" x14ac:dyDescent="0.3">
      <c r="A373" s="29">
        <v>8378563200</v>
      </c>
      <c r="B373" s="29">
        <v>525</v>
      </c>
    </row>
    <row r="374" spans="1:2" x14ac:dyDescent="0.3">
      <c r="A374" s="29">
        <v>8378563200</v>
      </c>
      <c r="B374" s="29">
        <v>398</v>
      </c>
    </row>
    <row r="375" spans="1:2" x14ac:dyDescent="0.3">
      <c r="A375" s="29">
        <v>8378563200</v>
      </c>
      <c r="B375" s="29">
        <v>387</v>
      </c>
    </row>
    <row r="376" spans="1:2" x14ac:dyDescent="0.3">
      <c r="A376" s="29">
        <v>8378563200</v>
      </c>
      <c r="B376" s="29">
        <v>381</v>
      </c>
    </row>
    <row r="377" spans="1:2" x14ac:dyDescent="0.3">
      <c r="A377" s="29">
        <v>8378563200</v>
      </c>
      <c r="B377" s="29">
        <v>396</v>
      </c>
    </row>
    <row r="378" spans="1:2" x14ac:dyDescent="0.3">
      <c r="A378" s="29">
        <v>8378563200</v>
      </c>
      <c r="B378" s="29">
        <v>441</v>
      </c>
    </row>
    <row r="379" spans="1:2" x14ac:dyDescent="0.3">
      <c r="A379" s="29">
        <v>8378563200</v>
      </c>
      <c r="B379" s="29">
        <v>565</v>
      </c>
    </row>
    <row r="380" spans="1:2" x14ac:dyDescent="0.3">
      <c r="A380" s="29">
        <v>8378563200</v>
      </c>
      <c r="B380" s="29">
        <v>458</v>
      </c>
    </row>
    <row r="381" spans="1:2" x14ac:dyDescent="0.3">
      <c r="A381" s="29">
        <v>8378563200</v>
      </c>
      <c r="B381" s="29">
        <v>388</v>
      </c>
    </row>
    <row r="382" spans="1:2" x14ac:dyDescent="0.3">
      <c r="A382" s="29">
        <v>8378563200</v>
      </c>
      <c r="B382" s="29">
        <v>388</v>
      </c>
    </row>
    <row r="383" spans="1:2" x14ac:dyDescent="0.3">
      <c r="A383" s="29">
        <v>8378563200</v>
      </c>
      <c r="B383" s="29">
        <v>550</v>
      </c>
    </row>
    <row r="384" spans="1:2" x14ac:dyDescent="0.3">
      <c r="A384" s="29">
        <v>8378563200</v>
      </c>
      <c r="B384" s="29">
        <v>531</v>
      </c>
    </row>
    <row r="385" spans="1:2" x14ac:dyDescent="0.3">
      <c r="A385" s="29">
        <v>8378563200</v>
      </c>
      <c r="B385" s="29">
        <v>506</v>
      </c>
    </row>
    <row r="386" spans="1:2" x14ac:dyDescent="0.3">
      <c r="A386" s="29">
        <v>8378563200</v>
      </c>
      <c r="B386" s="29">
        <v>527</v>
      </c>
    </row>
    <row r="387" spans="1:2" x14ac:dyDescent="0.3">
      <c r="A387" s="29">
        <v>8378563200</v>
      </c>
      <c r="B387" s="29">
        <v>468</v>
      </c>
    </row>
    <row r="388" spans="1:2" x14ac:dyDescent="0.3">
      <c r="A388" s="29">
        <v>8378563200</v>
      </c>
      <c r="B388" s="29">
        <v>475</v>
      </c>
    </row>
    <row r="389" spans="1:2" x14ac:dyDescent="0.3">
      <c r="A389" s="29">
        <v>8378563200</v>
      </c>
      <c r="B389" s="29">
        <v>351</v>
      </c>
    </row>
    <row r="390" spans="1:2" x14ac:dyDescent="0.3">
      <c r="A390" s="29">
        <v>8378563200</v>
      </c>
      <c r="B390" s="29">
        <v>405</v>
      </c>
    </row>
    <row r="391" spans="1:2" x14ac:dyDescent="0.3">
      <c r="A391" s="29">
        <v>8378563200</v>
      </c>
      <c r="B391" s="29">
        <v>441</v>
      </c>
    </row>
    <row r="392" spans="1:2" x14ac:dyDescent="0.3">
      <c r="A392" s="29">
        <v>8378563200</v>
      </c>
      <c r="B392" s="29">
        <v>381</v>
      </c>
    </row>
    <row r="393" spans="1:2" x14ac:dyDescent="0.3">
      <c r="A393" s="29">
        <v>8378563200</v>
      </c>
      <c r="B393" s="29">
        <v>323</v>
      </c>
    </row>
    <row r="394" spans="1:2" x14ac:dyDescent="0.3">
      <c r="A394" s="29">
        <v>8378563200</v>
      </c>
      <c r="B394" s="29">
        <v>459</v>
      </c>
    </row>
    <row r="395" spans="1:2" x14ac:dyDescent="0.3">
      <c r="A395" s="29">
        <v>8378563200</v>
      </c>
      <c r="B395" s="29">
        <v>545</v>
      </c>
    </row>
    <row r="396" spans="1:2" x14ac:dyDescent="0.3">
      <c r="A396" s="29">
        <v>8378563200</v>
      </c>
      <c r="B396" s="29">
        <v>359</v>
      </c>
    </row>
    <row r="397" spans="1:2" x14ac:dyDescent="0.3">
      <c r="A397" s="29">
        <v>8378563200</v>
      </c>
      <c r="B397" s="29">
        <v>342</v>
      </c>
    </row>
    <row r="398" spans="1:2" x14ac:dyDescent="0.3">
      <c r="A398" s="29">
        <v>8378563200</v>
      </c>
      <c r="B398" s="29">
        <v>368</v>
      </c>
    </row>
    <row r="399" spans="1:2" x14ac:dyDescent="0.3">
      <c r="A399" s="29">
        <v>8378563200</v>
      </c>
      <c r="B399" s="29">
        <v>496</v>
      </c>
    </row>
    <row r="400" spans="1:2" x14ac:dyDescent="0.3">
      <c r="A400" s="29">
        <v>8792009665</v>
      </c>
      <c r="B400" s="29">
        <v>458</v>
      </c>
    </row>
    <row r="401" spans="1:2" x14ac:dyDescent="0.3">
      <c r="A401" s="29">
        <v>8792009665</v>
      </c>
      <c r="B401" s="29">
        <v>531</v>
      </c>
    </row>
    <row r="402" spans="1:2" x14ac:dyDescent="0.3">
      <c r="A402" s="29">
        <v>8792009665</v>
      </c>
      <c r="B402" s="29">
        <v>486</v>
      </c>
    </row>
    <row r="403" spans="1:2" x14ac:dyDescent="0.3">
      <c r="A403" s="29">
        <v>8792009665</v>
      </c>
      <c r="B403" s="29">
        <v>363</v>
      </c>
    </row>
    <row r="404" spans="1:2" x14ac:dyDescent="0.3">
      <c r="A404" s="29">
        <v>8792009665</v>
      </c>
      <c r="B404" s="29">
        <v>528</v>
      </c>
    </row>
    <row r="405" spans="1:2" x14ac:dyDescent="0.3">
      <c r="A405" s="29">
        <v>8792009665</v>
      </c>
      <c r="B405" s="29">
        <v>391</v>
      </c>
    </row>
    <row r="406" spans="1:2" x14ac:dyDescent="0.3">
      <c r="A406" s="29">
        <v>8792009665</v>
      </c>
      <c r="B406" s="29">
        <v>339</v>
      </c>
    </row>
    <row r="407" spans="1:2" x14ac:dyDescent="0.3">
      <c r="A407" s="29">
        <v>8792009665</v>
      </c>
      <c r="B407" s="29">
        <v>423</v>
      </c>
    </row>
    <row r="408" spans="1:2" x14ac:dyDescent="0.3">
      <c r="A408" s="29">
        <v>8792009665</v>
      </c>
      <c r="B408" s="29">
        <v>402</v>
      </c>
    </row>
    <row r="409" spans="1:2" x14ac:dyDescent="0.3">
      <c r="A409" s="29">
        <v>8792009665</v>
      </c>
      <c r="B409" s="29">
        <v>398</v>
      </c>
    </row>
    <row r="410" spans="1:2" x14ac:dyDescent="0.3">
      <c r="A410" s="29">
        <v>8792009665</v>
      </c>
      <c r="B410" s="29">
        <v>343</v>
      </c>
    </row>
    <row r="411" spans="1:2" x14ac:dyDescent="0.3">
      <c r="A411" s="29">
        <v>8792009665</v>
      </c>
      <c r="B411" s="29">
        <v>503</v>
      </c>
    </row>
    <row r="412" spans="1:2" x14ac:dyDescent="0.3">
      <c r="A412" s="29">
        <v>8792009665</v>
      </c>
      <c r="B412" s="29">
        <v>415</v>
      </c>
    </row>
    <row r="413" spans="1:2" x14ac:dyDescent="0.3">
      <c r="A413" s="29">
        <v>8792009665</v>
      </c>
      <c r="B413" s="29">
        <v>516</v>
      </c>
    </row>
    <row r="414" spans="1:2" x14ac:dyDescent="0.3">
      <c r="A414" s="29">
        <v>8792009665</v>
      </c>
      <c r="B414" s="29">
        <v>439</v>
      </c>
    </row>
  </sheetData>
  <mergeCells count="1">
    <mergeCell ref="D2:S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25"/>
  <sheetViews>
    <sheetView showGridLines="0" workbookViewId="0"/>
  </sheetViews>
  <sheetFormatPr defaultRowHeight="14.4" x14ac:dyDescent="0.3"/>
  <cols>
    <col min="1" max="1" width="11" bestFit="1" customWidth="1"/>
    <col min="2" max="2" width="20.21875" bestFit="1" customWidth="1"/>
    <col min="3" max="3" width="15.44140625" bestFit="1" customWidth="1"/>
    <col min="4" max="4" width="19.5546875" bestFit="1" customWidth="1"/>
  </cols>
  <sheetData>
    <row r="1" spans="1:19" x14ac:dyDescent="0.3">
      <c r="A1" s="33" t="s">
        <v>0</v>
      </c>
      <c r="B1" s="33" t="s">
        <v>4</v>
      </c>
      <c r="C1" s="33" t="s">
        <v>2</v>
      </c>
      <c r="D1" s="32" t="s">
        <v>3</v>
      </c>
    </row>
    <row r="2" spans="1:19" ht="14.4" customHeight="1" x14ac:dyDescent="0.3">
      <c r="A2" s="34" cm="1">
        <f t="array" ref="A2:A25">_xlfn.UNIQUE('Sleep Day Cleaned'!A2:A414)</f>
        <v>1503960366</v>
      </c>
      <c r="B2" s="34">
        <f ca="1">AVERAGEIF('Sleep Day Cleaned'!$A$2:$B$414,A2,'Sleep Day Cleaned'!$B$2:$B$414)</f>
        <v>360.28</v>
      </c>
      <c r="C2" s="34">
        <f ca="1">B2/60</f>
        <v>6.0046666666666662</v>
      </c>
      <c r="D2" s="30" t="str">
        <f ca="1">IF(C2&lt;7,"Sleep Deprived",IF(C2&gt;9,"Potential Oversleepers","Normal Sleepers"))</f>
        <v>Sleep Deprived</v>
      </c>
      <c r="F2" s="20" t="s">
        <v>17</v>
      </c>
      <c r="G2" s="21"/>
      <c r="H2" s="21"/>
      <c r="I2" s="21"/>
      <c r="J2" s="21"/>
      <c r="K2" s="21"/>
      <c r="L2" s="21"/>
      <c r="M2" s="21"/>
      <c r="N2" s="21"/>
      <c r="O2" s="21"/>
      <c r="P2" s="21"/>
      <c r="Q2" s="21"/>
      <c r="R2" s="21"/>
      <c r="S2" s="22"/>
    </row>
    <row r="3" spans="1:19" x14ac:dyDescent="0.3">
      <c r="A3" s="34">
        <v>1644430081</v>
      </c>
      <c r="B3" s="34">
        <f ca="1">AVERAGEIF('Sleep Day Cleaned'!$A$2:$B$414,A3,'Sleep Day Cleaned'!$B$2:$B$414)</f>
        <v>294</v>
      </c>
      <c r="C3" s="34">
        <f t="shared" ref="C3:C25" ca="1" si="0">B3/60</f>
        <v>4.9000000000000004</v>
      </c>
      <c r="D3" s="30" t="str">
        <f t="shared" ref="D3:D25" ca="1" si="1">IF(C3&lt;7,"Sleep Deprived",IF(C3&gt;9,"Potential Oversleepers","Normal Sleepers"))</f>
        <v>Sleep Deprived</v>
      </c>
      <c r="F3" s="23"/>
      <c r="G3" s="24"/>
      <c r="H3" s="24"/>
      <c r="I3" s="24"/>
      <c r="J3" s="24"/>
      <c r="K3" s="24"/>
      <c r="L3" s="24"/>
      <c r="M3" s="24"/>
      <c r="N3" s="24"/>
      <c r="O3" s="24"/>
      <c r="P3" s="24"/>
      <c r="Q3" s="24"/>
      <c r="R3" s="24"/>
      <c r="S3" s="25"/>
    </row>
    <row r="4" spans="1:19" x14ac:dyDescent="0.3">
      <c r="A4" s="34">
        <v>1844505072</v>
      </c>
      <c r="B4" s="34">
        <f ca="1">AVERAGEIF('Sleep Day Cleaned'!$A$2:$B$414,A4,'Sleep Day Cleaned'!$B$2:$B$414)</f>
        <v>652</v>
      </c>
      <c r="C4" s="34">
        <f t="shared" ca="1" si="0"/>
        <v>10.866666666666667</v>
      </c>
      <c r="D4" s="30" t="str">
        <f t="shared" ca="1" si="1"/>
        <v>Potential Oversleepers</v>
      </c>
      <c r="F4" s="23"/>
      <c r="G4" s="24"/>
      <c r="H4" s="24"/>
      <c r="I4" s="24"/>
      <c r="J4" s="24"/>
      <c r="K4" s="24"/>
      <c r="L4" s="24"/>
      <c r="M4" s="24"/>
      <c r="N4" s="24"/>
      <c r="O4" s="24"/>
      <c r="P4" s="24"/>
      <c r="Q4" s="24"/>
      <c r="R4" s="24"/>
      <c r="S4" s="25"/>
    </row>
    <row r="5" spans="1:19" x14ac:dyDescent="0.3">
      <c r="A5" s="34">
        <v>1927972279</v>
      </c>
      <c r="B5" s="34">
        <f ca="1">AVERAGEIF('Sleep Day Cleaned'!$A$2:$B$414,A5,'Sleep Day Cleaned'!$B$2:$B$414)</f>
        <v>417</v>
      </c>
      <c r="C5" s="34">
        <f t="shared" ca="1" si="0"/>
        <v>6.95</v>
      </c>
      <c r="D5" s="30" t="str">
        <f t="shared" ca="1" si="1"/>
        <v>Sleep Deprived</v>
      </c>
      <c r="F5" s="26"/>
      <c r="G5" s="27"/>
      <c r="H5" s="27"/>
      <c r="I5" s="27"/>
      <c r="J5" s="27"/>
      <c r="K5" s="27"/>
      <c r="L5" s="27"/>
      <c r="M5" s="27"/>
      <c r="N5" s="27"/>
      <c r="O5" s="27"/>
      <c r="P5" s="27"/>
      <c r="Q5" s="27"/>
      <c r="R5" s="27"/>
      <c r="S5" s="28"/>
    </row>
    <row r="6" spans="1:19" x14ac:dyDescent="0.3">
      <c r="A6" s="34">
        <v>2026352035</v>
      </c>
      <c r="B6" s="34">
        <f ca="1">AVERAGEIF('Sleep Day Cleaned'!$A$2:$B$414,A6,'Sleep Day Cleaned'!$B$2:$B$414)</f>
        <v>506.17857142857144</v>
      </c>
      <c r="C6" s="34">
        <f t="shared" ca="1" si="0"/>
        <v>8.4363095238095234</v>
      </c>
      <c r="D6" s="30" t="str">
        <f t="shared" ca="1" si="1"/>
        <v>Normal Sleepers</v>
      </c>
    </row>
    <row r="7" spans="1:19" x14ac:dyDescent="0.3">
      <c r="A7" s="34">
        <v>2320127002</v>
      </c>
      <c r="B7" s="34">
        <f ca="1">AVERAGEIF('Sleep Day Cleaned'!$A$2:$B$414,A7,'Sleep Day Cleaned'!$B$2:$B$414)</f>
        <v>61</v>
      </c>
      <c r="C7" s="34">
        <f t="shared" ca="1" si="0"/>
        <v>1.0166666666666666</v>
      </c>
      <c r="D7" s="30" t="str">
        <f t="shared" ca="1" si="1"/>
        <v>Sleep Deprived</v>
      </c>
      <c r="F7" s="20" t="s">
        <v>18</v>
      </c>
      <c r="G7" s="21"/>
      <c r="H7" s="21"/>
      <c r="I7" s="21"/>
      <c r="J7" s="21"/>
      <c r="K7" s="21"/>
      <c r="L7" s="21"/>
      <c r="M7" s="21"/>
      <c r="N7" s="21"/>
      <c r="O7" s="21"/>
      <c r="P7" s="21"/>
      <c r="Q7" s="21"/>
      <c r="R7" s="21"/>
      <c r="S7" s="22"/>
    </row>
    <row r="8" spans="1:19" x14ac:dyDescent="0.3">
      <c r="A8" s="34">
        <v>2347167796</v>
      </c>
      <c r="B8" s="34">
        <f ca="1">AVERAGEIF('Sleep Day Cleaned'!$A$2:$B$414,A8,'Sleep Day Cleaned'!$B$2:$B$414)</f>
        <v>446.8</v>
      </c>
      <c r="C8" s="34">
        <f t="shared" ca="1" si="0"/>
        <v>7.4466666666666672</v>
      </c>
      <c r="D8" s="30" t="str">
        <f t="shared" ca="1" si="1"/>
        <v>Normal Sleepers</v>
      </c>
      <c r="F8" s="26"/>
      <c r="G8" s="27"/>
      <c r="H8" s="27"/>
      <c r="I8" s="27"/>
      <c r="J8" s="27"/>
      <c r="K8" s="27"/>
      <c r="L8" s="27"/>
      <c r="M8" s="27"/>
      <c r="N8" s="27"/>
      <c r="O8" s="27"/>
      <c r="P8" s="27"/>
      <c r="Q8" s="27"/>
      <c r="R8" s="27"/>
      <c r="S8" s="28"/>
    </row>
    <row r="9" spans="1:19" x14ac:dyDescent="0.3">
      <c r="A9" s="34">
        <v>3977333714</v>
      </c>
      <c r="B9" s="34">
        <f ca="1">AVERAGEIF('Sleep Day Cleaned'!$A$2:$B$414,A9,'Sleep Day Cleaned'!$B$2:$B$414)</f>
        <v>293.64285714285717</v>
      </c>
      <c r="C9" s="34">
        <f t="shared" ca="1" si="0"/>
        <v>4.8940476190476199</v>
      </c>
      <c r="D9" s="30" t="str">
        <f t="shared" ca="1" si="1"/>
        <v>Sleep Deprived</v>
      </c>
    </row>
    <row r="10" spans="1:19" x14ac:dyDescent="0.3">
      <c r="A10" s="34">
        <v>4020332650</v>
      </c>
      <c r="B10" s="34">
        <f ca="1">AVERAGEIF('Sleep Day Cleaned'!$A$2:$B$414,A10,'Sleep Day Cleaned'!$B$2:$B$414)</f>
        <v>349.375</v>
      </c>
      <c r="C10" s="34">
        <f t="shared" ca="1" si="0"/>
        <v>5.822916666666667</v>
      </c>
      <c r="D10" s="30" t="str">
        <f t="shared" ca="1" si="1"/>
        <v>Sleep Deprived</v>
      </c>
    </row>
    <row r="11" spans="1:19" x14ac:dyDescent="0.3">
      <c r="A11" s="34">
        <v>4319703577</v>
      </c>
      <c r="B11" s="34">
        <f ca="1">AVERAGEIF('Sleep Day Cleaned'!$A$2:$B$414,A11,'Sleep Day Cleaned'!$B$2:$B$414)</f>
        <v>476.65384615384613</v>
      </c>
      <c r="C11" s="34">
        <f t="shared" ca="1" si="0"/>
        <v>7.944230769230769</v>
      </c>
      <c r="D11" s="30" t="str">
        <f t="shared" ca="1" si="1"/>
        <v>Normal Sleepers</v>
      </c>
    </row>
    <row r="12" spans="1:19" x14ac:dyDescent="0.3">
      <c r="A12" s="34">
        <v>4388161847</v>
      </c>
      <c r="B12" s="34">
        <f ca="1">AVERAGEIF('Sleep Day Cleaned'!$A$2:$B$414,A12,'Sleep Day Cleaned'!$B$2:$B$414)</f>
        <v>403.125</v>
      </c>
      <c r="C12" s="34">
        <f t="shared" ca="1" si="0"/>
        <v>6.71875</v>
      </c>
      <c r="D12" s="30" t="str">
        <f t="shared" ca="1" si="1"/>
        <v>Sleep Deprived</v>
      </c>
    </row>
    <row r="13" spans="1:19" x14ac:dyDescent="0.3">
      <c r="A13" s="34">
        <v>4445114986</v>
      </c>
      <c r="B13" s="34">
        <f ca="1">AVERAGEIF('Sleep Day Cleaned'!$A$2:$B$414,A13,'Sleep Day Cleaned'!$B$2:$B$414)</f>
        <v>385.17857142857144</v>
      </c>
      <c r="C13" s="34">
        <f t="shared" ca="1" si="0"/>
        <v>6.4196428571428577</v>
      </c>
      <c r="D13" s="30" t="str">
        <f t="shared" ca="1" si="1"/>
        <v>Sleep Deprived</v>
      </c>
    </row>
    <row r="14" spans="1:19" x14ac:dyDescent="0.3">
      <c r="A14" s="34">
        <v>4558609924</v>
      </c>
      <c r="B14" s="34">
        <f ca="1">AVERAGEIF('Sleep Day Cleaned'!$A$2:$B$414,A14,'Sleep Day Cleaned'!$B$2:$B$414)</f>
        <v>127.6</v>
      </c>
      <c r="C14" s="34">
        <f t="shared" ca="1" si="0"/>
        <v>2.1266666666666665</v>
      </c>
      <c r="D14" s="30" t="str">
        <f t="shared" ca="1" si="1"/>
        <v>Sleep Deprived</v>
      </c>
    </row>
    <row r="15" spans="1:19" x14ac:dyDescent="0.3">
      <c r="A15" s="34">
        <v>4702921684</v>
      </c>
      <c r="B15" s="34">
        <f ca="1">AVERAGEIF('Sleep Day Cleaned'!$A$2:$B$414,A15,'Sleep Day Cleaned'!$B$2:$B$414)</f>
        <v>421.14285714285717</v>
      </c>
      <c r="C15" s="34">
        <f t="shared" ca="1" si="0"/>
        <v>7.0190476190476199</v>
      </c>
      <c r="D15" s="30" t="str">
        <f t="shared" ca="1" si="1"/>
        <v>Normal Sleepers</v>
      </c>
    </row>
    <row r="16" spans="1:19" x14ac:dyDescent="0.3">
      <c r="A16" s="34">
        <v>5553957443</v>
      </c>
      <c r="B16" s="34">
        <f ca="1">AVERAGEIF('Sleep Day Cleaned'!$A$2:$B$414,A16,'Sleep Day Cleaned'!$B$2:$B$414)</f>
        <v>463.48387096774195</v>
      </c>
      <c r="C16" s="34">
        <f t="shared" ca="1" si="0"/>
        <v>7.7247311827956988</v>
      </c>
      <c r="D16" s="30" t="str">
        <f t="shared" ca="1" si="1"/>
        <v>Normal Sleepers</v>
      </c>
    </row>
    <row r="17" spans="1:4" x14ac:dyDescent="0.3">
      <c r="A17" s="34">
        <v>5577150313</v>
      </c>
      <c r="B17" s="34">
        <f ca="1">AVERAGEIF('Sleep Day Cleaned'!$A$2:$B$414,A17,'Sleep Day Cleaned'!$B$2:$B$414)</f>
        <v>432</v>
      </c>
      <c r="C17" s="34">
        <f t="shared" ca="1" si="0"/>
        <v>7.2</v>
      </c>
      <c r="D17" s="30" t="str">
        <f t="shared" ca="1" si="1"/>
        <v>Normal Sleepers</v>
      </c>
    </row>
    <row r="18" spans="1:4" x14ac:dyDescent="0.3">
      <c r="A18" s="34">
        <v>6117666160</v>
      </c>
      <c r="B18" s="34">
        <f ca="1">AVERAGEIF('Sleep Day Cleaned'!$A$2:$B$414,A18,'Sleep Day Cleaned'!$B$2:$B$414)</f>
        <v>478.77777777777777</v>
      </c>
      <c r="C18" s="34">
        <f t="shared" ca="1" si="0"/>
        <v>7.9796296296296294</v>
      </c>
      <c r="D18" s="30" t="str">
        <f t="shared" ca="1" si="1"/>
        <v>Normal Sleepers</v>
      </c>
    </row>
    <row r="19" spans="1:4" x14ac:dyDescent="0.3">
      <c r="A19" s="34">
        <v>6775888955</v>
      </c>
      <c r="B19" s="34">
        <f ca="1">AVERAGEIF('Sleep Day Cleaned'!$A$2:$B$414,A19,'Sleep Day Cleaned'!$B$2:$B$414)</f>
        <v>349.66666666666669</v>
      </c>
      <c r="C19" s="34">
        <f t="shared" ca="1" si="0"/>
        <v>5.8277777777777784</v>
      </c>
      <c r="D19" s="30" t="str">
        <f t="shared" ca="1" si="1"/>
        <v>Sleep Deprived</v>
      </c>
    </row>
    <row r="20" spans="1:4" x14ac:dyDescent="0.3">
      <c r="A20" s="34">
        <v>6962181067</v>
      </c>
      <c r="B20" s="34">
        <f ca="1">AVERAGEIF('Sleep Day Cleaned'!$A$2:$B$414,A20,'Sleep Day Cleaned'!$B$2:$B$414)</f>
        <v>448</v>
      </c>
      <c r="C20" s="34">
        <f t="shared" ca="1" si="0"/>
        <v>7.4666666666666668</v>
      </c>
      <c r="D20" s="30" t="str">
        <f t="shared" ca="1" si="1"/>
        <v>Normal Sleepers</v>
      </c>
    </row>
    <row r="21" spans="1:4" x14ac:dyDescent="0.3">
      <c r="A21" s="34">
        <v>7007744171</v>
      </c>
      <c r="B21" s="34">
        <f ca="1">AVERAGEIF('Sleep Day Cleaned'!$A$2:$B$414,A21,'Sleep Day Cleaned'!$B$2:$B$414)</f>
        <v>68.5</v>
      </c>
      <c r="C21" s="34">
        <f t="shared" ca="1" si="0"/>
        <v>1.1416666666666666</v>
      </c>
      <c r="D21" s="30" t="str">
        <f t="shared" ca="1" si="1"/>
        <v>Sleep Deprived</v>
      </c>
    </row>
    <row r="22" spans="1:4" x14ac:dyDescent="0.3">
      <c r="A22" s="34">
        <v>7086361926</v>
      </c>
      <c r="B22" s="34">
        <f ca="1">AVERAGEIF('Sleep Day Cleaned'!$A$2:$B$414,A22,'Sleep Day Cleaned'!$B$2:$B$414)</f>
        <v>453.125</v>
      </c>
      <c r="C22" s="34">
        <f t="shared" ca="1" si="0"/>
        <v>7.552083333333333</v>
      </c>
      <c r="D22" s="30" t="str">
        <f t="shared" ca="1" si="1"/>
        <v>Normal Sleepers</v>
      </c>
    </row>
    <row r="23" spans="1:4" x14ac:dyDescent="0.3">
      <c r="A23" s="34">
        <v>8053475328</v>
      </c>
      <c r="B23" s="34">
        <f ca="1">AVERAGEIF('Sleep Day Cleaned'!$A$2:$B$414,A23,'Sleep Day Cleaned'!$B$2:$B$414)</f>
        <v>297</v>
      </c>
      <c r="C23" s="34">
        <f t="shared" ca="1" si="0"/>
        <v>4.95</v>
      </c>
      <c r="D23" s="30" t="str">
        <f t="shared" ca="1" si="1"/>
        <v>Sleep Deprived</v>
      </c>
    </row>
    <row r="24" spans="1:4" x14ac:dyDescent="0.3">
      <c r="A24" s="34">
        <v>8378563200</v>
      </c>
      <c r="B24" s="34">
        <f ca="1">AVERAGEIF('Sleep Day Cleaned'!$A$2:$B$414,A24,'Sleep Day Cleaned'!$B$2:$B$414)</f>
        <v>443.34375</v>
      </c>
      <c r="C24" s="34">
        <f t="shared" ca="1" si="0"/>
        <v>7.3890624999999996</v>
      </c>
      <c r="D24" s="30" t="str">
        <f t="shared" ca="1" si="1"/>
        <v>Normal Sleepers</v>
      </c>
    </row>
    <row r="25" spans="1:4" x14ac:dyDescent="0.3">
      <c r="A25" s="35">
        <v>8792009665</v>
      </c>
      <c r="B25" s="35">
        <f ca="1">AVERAGEIF('Sleep Day Cleaned'!$A$2:$B$414,A25,'Sleep Day Cleaned'!$B$2:$B$414)</f>
        <v>435.66666666666669</v>
      </c>
      <c r="C25" s="35">
        <f t="shared" ca="1" si="0"/>
        <v>7.2611111111111111</v>
      </c>
      <c r="D25" s="31" t="str">
        <f t="shared" ca="1" si="1"/>
        <v>Normal Sleepers</v>
      </c>
    </row>
  </sheetData>
  <mergeCells count="2">
    <mergeCell ref="F2:S5"/>
    <mergeCell ref="F7:S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33DA64-8E7A-43F7-B9B1-DBCFC89897C4}">
  <dimension ref="A3:B6"/>
  <sheetViews>
    <sheetView workbookViewId="0"/>
  </sheetViews>
  <sheetFormatPr defaultRowHeight="14.4" x14ac:dyDescent="0.3"/>
  <cols>
    <col min="1" max="1" width="19.5546875" bestFit="1" customWidth="1"/>
    <col min="2" max="2" width="6.109375" bestFit="1" customWidth="1"/>
  </cols>
  <sheetData>
    <row r="3" spans="1:2" x14ac:dyDescent="0.3">
      <c r="A3" s="1" t="s">
        <v>8</v>
      </c>
      <c r="B3" t="s">
        <v>9</v>
      </c>
    </row>
    <row r="4" spans="1:2" x14ac:dyDescent="0.3">
      <c r="A4" s="2" t="s">
        <v>5</v>
      </c>
      <c r="B4">
        <v>11</v>
      </c>
    </row>
    <row r="5" spans="1:2" x14ac:dyDescent="0.3">
      <c r="A5" s="2" t="s">
        <v>6</v>
      </c>
      <c r="B5">
        <v>1</v>
      </c>
    </row>
    <row r="6" spans="1:2" x14ac:dyDescent="0.3">
      <c r="A6" s="2" t="s">
        <v>7</v>
      </c>
      <c r="B6">
        <v>12</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510E890-E958-4720-BB3A-A27420C94D7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Final Solution</vt:lpstr>
      <vt:lpstr>Sleep Day Cleaned</vt:lpstr>
      <vt:lpstr>Analysis</vt:lpstr>
      <vt:lpstr>Customers Count by Categories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dc:creator>
  <cp:lastModifiedBy>Deepak Bhatt</cp:lastModifiedBy>
  <dcterms:created xsi:type="dcterms:W3CDTF">2015-06-05T18:17:20Z</dcterms:created>
  <dcterms:modified xsi:type="dcterms:W3CDTF">2024-05-12T07:03:17Z</dcterms:modified>
</cp:coreProperties>
</file>