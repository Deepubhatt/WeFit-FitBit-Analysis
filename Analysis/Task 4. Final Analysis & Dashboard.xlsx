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mc:AlternateContent xmlns:mc="http://schemas.openxmlformats.org/markup-compatibility/2006">
    <mc:Choice Requires="x15">
      <x15ac:absPath xmlns:x15ac="http://schemas.microsoft.com/office/spreadsheetml/2010/11/ac" url="D:\Data Science\Data Science Course - Internshala\1. Excel\Project\"/>
    </mc:Choice>
  </mc:AlternateContent>
  <xr:revisionPtr revIDLastSave="0" documentId="13_ncr:1_{12728F00-3C43-46F6-A12A-1C1077F935E3}" xr6:coauthVersionLast="47" xr6:coauthVersionMax="47" xr10:uidLastSave="{00000000-0000-0000-0000-000000000000}"/>
  <bookViews>
    <workbookView xWindow="-108" yWindow="-108" windowWidth="23256" windowHeight="13176" tabRatio="861" xr2:uid="{00000000-000D-0000-FFFF-FFFF00000000}"/>
  </bookViews>
  <sheets>
    <sheet name="Daily Activity Cleaned" sheetId="2" r:id="rId1"/>
    <sheet name="Q1-8 (By Id)" sheetId="1" r:id="rId2"/>
    <sheet name="Q1-8 (By Date)" sheetId="8" r:id="rId3"/>
    <sheet name="Dashboard" sheetId="4" r:id="rId4"/>
    <sheet name="Pivot Table 1" sheetId="5" r:id="rId5"/>
    <sheet name="Pivot Table 2" sheetId="9" r:id="rId6"/>
  </sheets>
  <definedNames>
    <definedName name="_xlnm._FilterDatabase" localSheetId="0" hidden="1">'Daily Activity Cleaned'!$A$1:$J$941</definedName>
    <definedName name="_xlnm._FilterDatabase" localSheetId="2" hidden="1">'Q1-8 (By Date)'!$A$1:$L$32</definedName>
    <definedName name="Slicer_Id">#N/A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8" l="1"/>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2" i="8"/>
  <c r="E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A2" i="1" a="1"/>
  <c r="A2" i="1" s="1"/>
  <c r="B2" i="1" s="1"/>
  <c r="C2" i="1" s="1"/>
  <c r="D31" i="1" l="1"/>
  <c r="E31" i="1" s="1"/>
  <c r="F31" i="1"/>
  <c r="D30" i="1"/>
  <c r="E30" i="1" s="1"/>
  <c r="D14" i="1"/>
  <c r="E14" i="1" s="1"/>
  <c r="F30" i="1"/>
  <c r="D29" i="1"/>
  <c r="E29" i="1" s="1"/>
  <c r="F29" i="1"/>
  <c r="D12" i="1"/>
  <c r="E12" i="1" s="1"/>
  <c r="F12" i="1"/>
  <c r="D27" i="1"/>
  <c r="E27" i="1" s="1"/>
  <c r="D11" i="1"/>
  <c r="E11" i="1" s="1"/>
  <c r="F27" i="1"/>
  <c r="F11" i="1"/>
  <c r="F3" i="1"/>
  <c r="D34" i="1"/>
  <c r="E34" i="1" s="1"/>
  <c r="F18" i="1"/>
  <c r="D33" i="1"/>
  <c r="E33" i="1" s="1"/>
  <c r="D17" i="1"/>
  <c r="E17" i="1" s="1"/>
  <c r="F17" i="1"/>
  <c r="F32" i="1"/>
  <c r="F15" i="1"/>
  <c r="F14" i="1"/>
  <c r="D13" i="1"/>
  <c r="E13" i="1" s="1"/>
  <c r="F13" i="1"/>
  <c r="D28" i="1"/>
  <c r="E28" i="1" s="1"/>
  <c r="F28" i="1"/>
  <c r="D26" i="1"/>
  <c r="E26" i="1" s="1"/>
  <c r="D10" i="1"/>
  <c r="E10" i="1" s="1"/>
  <c r="F26" i="1"/>
  <c r="F10" i="1"/>
  <c r="D19" i="1"/>
  <c r="E19" i="1" s="1"/>
  <c r="D3" i="1"/>
  <c r="E3" i="1" s="1"/>
  <c r="F33" i="1"/>
  <c r="F16" i="1"/>
  <c r="D24" i="1"/>
  <c r="E24" i="1" s="1"/>
  <c r="F24" i="1"/>
  <c r="F7" i="1"/>
  <c r="D22" i="1"/>
  <c r="E22" i="1" s="1"/>
  <c r="F6" i="1"/>
  <c r="D18" i="1"/>
  <c r="E18" i="1" s="1"/>
  <c r="D32" i="1"/>
  <c r="E32" i="1" s="1"/>
  <c r="D15" i="1"/>
  <c r="E15" i="1" s="1"/>
  <c r="D25" i="1"/>
  <c r="E25" i="1" s="1"/>
  <c r="D9" i="1"/>
  <c r="E9" i="1" s="1"/>
  <c r="F25" i="1"/>
  <c r="F9" i="1"/>
  <c r="D8" i="1"/>
  <c r="E8" i="1" s="1"/>
  <c r="D23" i="1"/>
  <c r="E23" i="1" s="1"/>
  <c r="F23" i="1"/>
  <c r="D6" i="1"/>
  <c r="E6" i="1" s="1"/>
  <c r="D21" i="1"/>
  <c r="E21" i="1" s="1"/>
  <c r="D5" i="1"/>
  <c r="E5" i="1" s="1"/>
  <c r="F21" i="1"/>
  <c r="F5" i="1"/>
  <c r="F19" i="1"/>
  <c r="F34" i="1"/>
  <c r="D16" i="1"/>
  <c r="E16" i="1" s="1"/>
  <c r="F8" i="1"/>
  <c r="D7" i="1"/>
  <c r="E7" i="1" s="1"/>
  <c r="F22" i="1"/>
  <c r="D20" i="1"/>
  <c r="E20" i="1" s="1"/>
  <c r="D4" i="1"/>
  <c r="E4" i="1" s="1"/>
  <c r="F20" i="1"/>
  <c r="F4" i="1"/>
  <c r="L26" i="1"/>
  <c r="J15" i="1"/>
  <c r="H29" i="1"/>
  <c r="L17" i="1"/>
  <c r="H12" i="1"/>
  <c r="K25" i="1"/>
  <c r="H27" i="1"/>
  <c r="L16" i="1"/>
  <c r="J27" i="1"/>
  <c r="K16" i="1"/>
  <c r="H9" i="1"/>
  <c r="L23" i="1"/>
  <c r="H24" i="1"/>
  <c r="K31" i="1"/>
  <c r="K15" i="1"/>
  <c r="H23" i="1"/>
  <c r="L22" i="1"/>
  <c r="H6" i="1"/>
  <c r="J23" i="1"/>
  <c r="J7" i="1"/>
  <c r="K30" i="1"/>
  <c r="K22" i="1"/>
  <c r="K6" i="1"/>
  <c r="D2" i="1"/>
  <c r="E2" i="1" s="1"/>
  <c r="H21" i="1"/>
  <c r="H5" i="1"/>
  <c r="J22" i="1"/>
  <c r="J6" i="1"/>
  <c r="L29" i="1"/>
  <c r="L21" i="1"/>
  <c r="L13" i="1"/>
  <c r="L5" i="1"/>
  <c r="H7" i="1"/>
  <c r="J8" i="1"/>
  <c r="L6" i="1"/>
  <c r="H22" i="1"/>
  <c r="K14" i="1"/>
  <c r="F2" i="1"/>
  <c r="G2" i="1" s="1"/>
  <c r="H20" i="1"/>
  <c r="H4" i="1"/>
  <c r="J21" i="1"/>
  <c r="J5" i="1"/>
  <c r="K29" i="1"/>
  <c r="K21" i="1"/>
  <c r="K13" i="1"/>
  <c r="K5" i="1"/>
  <c r="H31" i="1"/>
  <c r="L10" i="1"/>
  <c r="H30" i="1"/>
  <c r="H14" i="1"/>
  <c r="J31" i="1"/>
  <c r="K26" i="1"/>
  <c r="L9" i="1"/>
  <c r="J29" i="1"/>
  <c r="K9" i="1"/>
  <c r="J28" i="1"/>
  <c r="L8" i="1"/>
  <c r="H10" i="1"/>
  <c r="K32" i="1"/>
  <c r="K8" i="1"/>
  <c r="H25" i="1"/>
  <c r="J10" i="1"/>
  <c r="L7" i="1"/>
  <c r="J25" i="1"/>
  <c r="K7" i="1"/>
  <c r="L14" i="1"/>
  <c r="H2" i="1"/>
  <c r="I2" i="1" s="1"/>
  <c r="H19" i="1"/>
  <c r="H3" i="1"/>
  <c r="J20" i="1"/>
  <c r="J4" i="1"/>
  <c r="L28" i="1"/>
  <c r="L20" i="1"/>
  <c r="L12" i="1"/>
  <c r="L4" i="1"/>
  <c r="H15" i="1"/>
  <c r="L34" i="1"/>
  <c r="K10" i="1"/>
  <c r="H13" i="1"/>
  <c r="L33" i="1"/>
  <c r="H28" i="1"/>
  <c r="J13" i="1"/>
  <c r="L32" i="1"/>
  <c r="H26" i="1"/>
  <c r="L31" i="1"/>
  <c r="L18" i="1"/>
  <c r="K34" i="1"/>
  <c r="L25" i="1"/>
  <c r="K17" i="1"/>
  <c r="H11" i="1"/>
  <c r="I11" i="1" s="1"/>
  <c r="L24" i="1"/>
  <c r="J11" i="1"/>
  <c r="K24" i="1"/>
  <c r="J26" i="1"/>
  <c r="L15" i="1"/>
  <c r="H8" i="1"/>
  <c r="J9" i="1"/>
  <c r="K23" i="1"/>
  <c r="J24" i="1"/>
  <c r="L30" i="1"/>
  <c r="H34" i="1"/>
  <c r="H18" i="1"/>
  <c r="J2" i="1"/>
  <c r="J19" i="1"/>
  <c r="J3" i="1"/>
  <c r="K28" i="1"/>
  <c r="K20" i="1"/>
  <c r="K12" i="1"/>
  <c r="K4" i="1"/>
  <c r="H33" i="1"/>
  <c r="H17" i="1"/>
  <c r="J34" i="1"/>
  <c r="J18" i="1"/>
  <c r="K2" i="1"/>
  <c r="L27" i="1"/>
  <c r="L19" i="1"/>
  <c r="L11" i="1"/>
  <c r="L3" i="1"/>
  <c r="J32" i="1"/>
  <c r="J16" i="1"/>
  <c r="K18" i="1"/>
  <c r="J30" i="1"/>
  <c r="J14" i="1"/>
  <c r="K33" i="1"/>
  <c r="J12" i="1"/>
  <c r="H32" i="1"/>
  <c r="I32" i="1" s="1"/>
  <c r="H16" i="1"/>
  <c r="I16" i="1" s="1"/>
  <c r="J33" i="1"/>
  <c r="J17" i="1"/>
  <c r="L2" i="1"/>
  <c r="K27" i="1"/>
  <c r="K19" i="1"/>
  <c r="K11" i="1"/>
  <c r="K3" i="1"/>
  <c r="B18" i="1"/>
  <c r="C18" i="1" s="1"/>
  <c r="B32" i="1"/>
  <c r="C32" i="1" s="1"/>
  <c r="B31" i="1"/>
  <c r="C31" i="1" s="1"/>
  <c r="B30" i="1"/>
  <c r="C30" i="1" s="1"/>
  <c r="B29" i="1"/>
  <c r="C29" i="1" s="1"/>
  <c r="B28" i="1"/>
  <c r="C28" i="1" s="1"/>
  <c r="B27" i="1"/>
  <c r="C27" i="1" s="1"/>
  <c r="B26" i="1"/>
  <c r="C26" i="1" s="1"/>
  <c r="B25" i="1"/>
  <c r="C25" i="1" s="1"/>
  <c r="B8" i="1"/>
  <c r="C8" i="1" s="1"/>
  <c r="B7" i="1"/>
  <c r="C7" i="1" s="1"/>
  <c r="B22" i="1"/>
  <c r="C22" i="1" s="1"/>
  <c r="B6" i="1"/>
  <c r="C6" i="1" s="1"/>
  <c r="B34" i="1"/>
  <c r="C34" i="1" s="1"/>
  <c r="B17" i="1"/>
  <c r="C17" i="1" s="1"/>
  <c r="B15" i="1"/>
  <c r="C15" i="1" s="1"/>
  <c r="B11" i="1"/>
  <c r="C11" i="1" s="1"/>
  <c r="B33" i="1"/>
  <c r="C33" i="1" s="1"/>
  <c r="B16" i="1"/>
  <c r="C16" i="1" s="1"/>
  <c r="B14" i="1"/>
  <c r="C14" i="1" s="1"/>
  <c r="B13" i="1"/>
  <c r="C13" i="1" s="1"/>
  <c r="B12" i="1"/>
  <c r="C12" i="1" s="1"/>
  <c r="B10" i="1"/>
  <c r="C10" i="1" s="1"/>
  <c r="B9" i="1"/>
  <c r="C9" i="1" s="1"/>
  <c r="B24" i="1"/>
  <c r="C24" i="1" s="1"/>
  <c r="B23" i="1"/>
  <c r="C23" i="1" s="1"/>
  <c r="B21" i="1"/>
  <c r="C21" i="1" s="1"/>
  <c r="B5" i="1"/>
  <c r="C5" i="1" s="1"/>
  <c r="B20" i="1"/>
  <c r="C20" i="1" s="1"/>
  <c r="B4" i="1"/>
  <c r="C4" i="1" s="1"/>
  <c r="B19" i="1"/>
  <c r="C19" i="1" s="1"/>
  <c r="B3" i="1"/>
  <c r="C3" i="1" s="1"/>
  <c r="I5" i="1" l="1"/>
  <c r="I18" i="1"/>
  <c r="G19" i="1"/>
  <c r="G17" i="1"/>
  <c r="G31" i="1"/>
  <c r="G6" i="1"/>
  <c r="G3" i="1"/>
  <c r="G30" i="1"/>
  <c r="G14" i="1"/>
  <c r="G15" i="1"/>
  <c r="G11" i="1"/>
  <c r="G12" i="1"/>
  <c r="G29" i="1"/>
  <c r="I6" i="1"/>
  <c r="G5" i="1"/>
  <c r="I34" i="1"/>
  <c r="G26" i="1"/>
  <c r="I4" i="1"/>
  <c r="I17" i="1"/>
  <c r="I15" i="1"/>
  <c r="I20" i="1"/>
  <c r="G7" i="1"/>
  <c r="G24" i="1"/>
  <c r="I26" i="1"/>
  <c r="I14" i="1"/>
  <c r="I23" i="1"/>
  <c r="G9" i="1"/>
  <c r="G10" i="1"/>
  <c r="I3" i="1"/>
  <c r="I30" i="1"/>
  <c r="G4" i="1"/>
  <c r="G33" i="1"/>
  <c r="I33" i="1"/>
  <c r="I19" i="1"/>
  <c r="G20" i="1"/>
  <c r="G21" i="1"/>
  <c r="I25" i="1"/>
  <c r="I21" i="1"/>
  <c r="I12" i="1"/>
  <c r="G16" i="1"/>
  <c r="I28" i="1"/>
  <c r="I22" i="1"/>
  <c r="I29" i="1"/>
  <c r="G25" i="1"/>
  <c r="G18" i="1"/>
  <c r="I10" i="1"/>
  <c r="I31" i="1"/>
  <c r="I24" i="1"/>
  <c r="G28" i="1"/>
  <c r="G32" i="1"/>
  <c r="I13" i="1"/>
  <c r="G34" i="1"/>
  <c r="G23" i="1"/>
  <c r="G13" i="1"/>
  <c r="G8" i="1"/>
  <c r="I8" i="1"/>
  <c r="I27" i="1"/>
  <c r="G22" i="1"/>
  <c r="G27" i="1"/>
  <c r="I7" i="1"/>
  <c r="I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385931-2531-4416-B195-869434CEBBAF}" keepAlive="1" name="Query - Daily Activity Cleaned" description="Connection to the 'Daily Activity Cleaned' query in the workbook." type="5" refreshedVersion="8" background="1" saveData="1">
    <dbPr connection="Provider=Microsoft.Mashup.OleDb.1;Data Source=$Workbook$;Location=&quot;Daily Activity Cleaned&quot;;Extended Properties=&quot;&quot;" command="SELECT * FROM [Daily Activity Cleane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<sst xmlns="http://schemas.openxmlformats.org/spreadsheetml/2006/main" count="1003" uniqueCount="51">
  <si>
    <t>Id</t>
  </si>
  <si>
    <t>ActivityDate</t>
  </si>
  <si>
    <t>TotalSteps</t>
  </si>
  <si>
    <t>TotalDistance</t>
  </si>
  <si>
    <t>VeryActiveMinutes</t>
  </si>
  <si>
    <t>FairlyActiveMinutes</t>
  </si>
  <si>
    <t>LightlyActiveMinutes</t>
  </si>
  <si>
    <t>Calories</t>
  </si>
  <si>
    <t>Day Name</t>
  </si>
  <si>
    <t>Day of Week</t>
  </si>
  <si>
    <t>Tuesday</t>
  </si>
  <si>
    <t>Wednesday</t>
  </si>
  <si>
    <t>Thursday</t>
  </si>
  <si>
    <t>Friday</t>
  </si>
  <si>
    <t>Saturday</t>
  </si>
  <si>
    <t>Sunday</t>
  </si>
  <si>
    <t>Monday</t>
  </si>
  <si>
    <t>DaysActive</t>
  </si>
  <si>
    <t>GearUseageActivity</t>
  </si>
  <si>
    <t>AvgDailyDistance</t>
  </si>
  <si>
    <t>TravelActivityLevel</t>
  </si>
  <si>
    <t>AvgStepsDaily</t>
  </si>
  <si>
    <t>TotalCalories</t>
  </si>
  <si>
    <t>AvgCaloriesDaily</t>
  </si>
  <si>
    <t>AvgLightlyActiveMin</t>
  </si>
  <si>
    <t>AvgFairlyActiveMin</t>
  </si>
  <si>
    <t>AvgVeryActiveMin</t>
  </si>
  <si>
    <t>In the Power Query Editor, removed unwanted columns; changed the data type for "ActivityDay" from text to Date; and added 2 new columns "Day Name" and "Day of Week", which will be useful later while creating dashboard. Then Loaded the dataset to Excel and converted the table to range using the "Convert to Range" option from Table Design for easy analysis and reduce the risk of giving Source file errors while submitting, as data would have still be linked to the data source.</t>
  </si>
  <si>
    <t>Date</t>
  </si>
  <si>
    <t>ActiveUsers</t>
  </si>
  <si>
    <t>AvgDailySteps</t>
  </si>
  <si>
    <t>AvgDailyCalories</t>
  </si>
  <si>
    <t>DistanceClass</t>
  </si>
  <si>
    <t>UserActivityClass</t>
  </si>
  <si>
    <r>
      <t>The criteria I used to create the "</t>
    </r>
    <r>
      <rPr>
        <b/>
        <sz val="11"/>
        <color theme="1"/>
        <rFont val="Calibri"/>
        <family val="2"/>
        <scheme val="minor"/>
      </rPr>
      <t>TravelActivityLevel</t>
    </r>
    <r>
      <rPr>
        <sz val="11"/>
        <color theme="1"/>
        <rFont val="Calibri"/>
        <family val="2"/>
        <scheme val="minor"/>
      </rPr>
      <t>" column is: If the daily average distance is below 5, the user falls into the "</t>
    </r>
    <r>
      <rPr>
        <b/>
        <sz val="11"/>
        <color rgb="FFC00000"/>
        <rFont val="Calibri"/>
        <family val="2"/>
        <scheme val="minor"/>
      </rPr>
      <t>Beginner</t>
    </r>
    <r>
      <rPr>
        <sz val="11"/>
        <color theme="1"/>
        <rFont val="Calibri"/>
        <family val="2"/>
        <scheme val="minor"/>
      </rPr>
      <t>" category; if daily average is between 5 and 9, the user falls into the "</t>
    </r>
    <r>
      <rPr>
        <b/>
        <sz val="11"/>
        <color theme="7" tint="-0.249977111117893"/>
        <rFont val="Calibri"/>
        <family val="2"/>
        <scheme val="minor"/>
      </rPr>
      <t>Intermediate</t>
    </r>
    <r>
      <rPr>
        <sz val="11"/>
        <color theme="1"/>
        <rFont val="Calibri"/>
        <family val="2"/>
        <scheme val="minor"/>
      </rPr>
      <t>" category; and at last if the daily average distance is above 9, the user falls into the "</t>
    </r>
    <r>
      <rPr>
        <b/>
        <sz val="11"/>
        <color theme="9"/>
        <rFont val="Calibri"/>
        <family val="2"/>
        <scheme val="minor"/>
      </rPr>
      <t>Pro</t>
    </r>
    <r>
      <rPr>
        <sz val="11"/>
        <color theme="1"/>
        <rFont val="Calibri"/>
        <family val="2"/>
        <scheme val="minor"/>
      </rPr>
      <t>" category.</t>
    </r>
  </si>
  <si>
    <r>
      <t>I used Pivot Table to create this sheet. I inserted all the required columns in the Pivot Table and then copied that data into this sheet. Then I created two conditional columns : "</t>
    </r>
    <r>
      <rPr>
        <b/>
        <sz val="11"/>
        <color theme="1"/>
        <rFont val="Calibri"/>
        <family val="2"/>
        <scheme val="minor"/>
      </rPr>
      <t>UserActivityClass</t>
    </r>
    <r>
      <rPr>
        <sz val="11"/>
        <color theme="1"/>
        <rFont val="Calibri"/>
        <family val="2"/>
        <scheme val="minor"/>
      </rPr>
      <t>" and "</t>
    </r>
    <r>
      <rPr>
        <b/>
        <sz val="11"/>
        <color theme="1"/>
        <rFont val="Calibri"/>
        <family val="2"/>
        <scheme val="minor"/>
      </rPr>
      <t>DistanceClass</t>
    </r>
    <r>
      <rPr>
        <sz val="11"/>
        <color theme="1"/>
        <rFont val="Calibri"/>
        <family val="2"/>
        <scheme val="minor"/>
      </rPr>
      <t>". "</t>
    </r>
    <r>
      <rPr>
        <b/>
        <sz val="11"/>
        <color theme="1"/>
        <rFont val="Calibri"/>
        <family val="2"/>
        <scheme val="minor"/>
      </rPr>
      <t>UserActivityClass</t>
    </r>
    <r>
      <rPr>
        <sz val="11"/>
        <color theme="1"/>
        <rFont val="Calibri"/>
        <family val="2"/>
        <scheme val="minor"/>
      </rPr>
      <t>" Column grouped the dates according to how many users were active on that day. If there were more than 30 active users that day, the date was labeled as "</t>
    </r>
    <r>
      <rPr>
        <b/>
        <sz val="11"/>
        <color theme="9" tint="-0.249977111117893"/>
        <rFont val="Calibri"/>
        <family val="2"/>
        <scheme val="minor"/>
      </rPr>
      <t>High</t>
    </r>
    <r>
      <rPr>
        <sz val="11"/>
        <color theme="1"/>
        <rFont val="Calibri"/>
        <family val="2"/>
        <scheme val="minor"/>
      </rPr>
      <t>"; if there were between 26 and 30 active users that day, the date was labeled as "</t>
    </r>
    <r>
      <rPr>
        <b/>
        <sz val="11"/>
        <color theme="7" tint="-0.249977111117893"/>
        <rFont val="Calibri"/>
        <family val="2"/>
        <scheme val="minor"/>
      </rPr>
      <t>Moderate</t>
    </r>
    <r>
      <rPr>
        <sz val="11"/>
        <color theme="1"/>
        <rFont val="Calibri"/>
        <family val="2"/>
        <scheme val="minor"/>
      </rPr>
      <t>"; and at last if there were less than 26 aactive users that day, the date was labeled as "</t>
    </r>
    <r>
      <rPr>
        <b/>
        <sz val="11"/>
        <color rgb="FFC00000"/>
        <rFont val="Calibri"/>
        <family val="2"/>
        <scheme val="minor"/>
      </rPr>
      <t>Low</t>
    </r>
    <r>
      <rPr>
        <sz val="11"/>
        <color theme="1"/>
        <rFont val="Calibri"/>
        <family val="2"/>
        <scheme val="minor"/>
      </rPr>
      <t>". Similarly, "</t>
    </r>
    <r>
      <rPr>
        <b/>
        <sz val="11"/>
        <color theme="1"/>
        <rFont val="Calibri"/>
        <family val="2"/>
        <scheme val="minor"/>
      </rPr>
      <t>DistanceClass</t>
    </r>
    <r>
      <rPr>
        <sz val="11"/>
        <color theme="1"/>
        <rFont val="Calibri"/>
        <family val="2"/>
        <scheme val="minor"/>
      </rPr>
      <t>" is a column which grouped the dates according to how much the users travelled distance on an average daily. If the average distance travelled daily was above 5.5, the dates were labeled as "</t>
    </r>
    <r>
      <rPr>
        <b/>
        <sz val="11"/>
        <color theme="9" tint="-0.249977111117893"/>
        <rFont val="Calibri"/>
        <family val="2"/>
        <scheme val="minor"/>
      </rPr>
      <t>High</t>
    </r>
    <r>
      <rPr>
        <sz val="11"/>
        <color theme="1"/>
        <rFont val="Calibri"/>
        <family val="2"/>
        <scheme val="minor"/>
      </rPr>
      <t>"; if the average distance travelled was between 4 and 5.5, the date was labeled as "</t>
    </r>
    <r>
      <rPr>
        <b/>
        <sz val="11"/>
        <color theme="7" tint="-0.249977111117893"/>
        <rFont val="Calibri"/>
        <family val="2"/>
        <scheme val="minor"/>
      </rPr>
      <t>Moderate</t>
    </r>
    <r>
      <rPr>
        <sz val="11"/>
        <color theme="1"/>
        <rFont val="Calibri"/>
        <family val="2"/>
        <scheme val="minor"/>
      </rPr>
      <t>"; and at last if the average was less than 4, the date was labeled as "</t>
    </r>
    <r>
      <rPr>
        <b/>
        <sz val="11"/>
        <color rgb="FFC00000"/>
        <rFont val="Calibri"/>
        <family val="2"/>
        <scheme val="minor"/>
      </rPr>
      <t>Low</t>
    </r>
    <r>
      <rPr>
        <sz val="11"/>
        <color theme="1"/>
        <rFont val="Calibri"/>
        <family val="2"/>
        <scheme val="minor"/>
      </rPr>
      <t>".</t>
    </r>
  </si>
  <si>
    <t>Active</t>
  </si>
  <si>
    <t>Light</t>
  </si>
  <si>
    <t>Moderate</t>
  </si>
  <si>
    <t>Beginner</t>
  </si>
  <si>
    <t>Intermediate</t>
  </si>
  <si>
    <t>Pro</t>
  </si>
  <si>
    <t>Day</t>
  </si>
  <si>
    <t>Gear Useage</t>
  </si>
  <si>
    <t>Count of Users</t>
  </si>
  <si>
    <t>Travel Activity</t>
  </si>
  <si>
    <t>User Id</t>
  </si>
  <si>
    <t>Average of Daily Steps</t>
  </si>
  <si>
    <t>Average of Daily Calories</t>
  </si>
  <si>
    <t>Average Distance</t>
  </si>
  <si>
    <t>Average Calories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</si>
</sst>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sz val="8"/>
      <name val="Calibri"/>
      <family val="2"/>
      <scheme val="minor"/>
    </font>
    <font>
      <b/>
      <sz val="11"/>
      <name val="Calibri"/>
      <family val="2"/>
      <scheme val="minor"/>
    </font>
    <font>
      <sz val="11"/>
      <name val="Calibri"/>
      <family val="2"/>
      <scheme val="minor"/>
    </font>
    <font>
      <b/>
      <sz val="11"/>
      <color theme="1"/>
      <name val="Calibri"/>
      <family val="2"/>
      <scheme val="minor"/>
    </font>
    <font>
      <b/>
      <sz val="11"/>
      <color rgb="FFC00000"/>
      <name val="Calibri"/>
      <family val="2"/>
      <scheme val="minor"/>
    </font>
    <font>
      <b/>
      <sz val="11"/>
      <color theme="7" tint="-0.249977111117893"/>
      <name val="Calibri"/>
      <family val="2"/>
      <scheme val="minor"/>
    </font>
    <font>
      <b/>
      <sz val="11"/>
      <color theme="9"/>
      <name val="Calibri"/>
      <family val="2"/>
      <scheme val="minor"/>
    </font>
    <font>
      <b/>
      <sz val="11"/>
      <color theme="9" tint="-0.249977111117893"/>
      <name val="Calibri"/>
      <family val="2"/>
      <scheme val="minor"/>
    </font>
  </fonts>
  <fills count="2">
    <fill>
      <patternFill patternType="none"/>
    </fill>
    <fill>
      <patternFill patternType="gray125"/>
    </fill>
  </fills>
  <borders count="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9">
    <xf numFmtId="0" fontId="0" fillId="0" borderId="0" xfId="0"/>
    <xf numFmtId="0" fontId="0" fillId="0" borderId="0" xfId="0" applyAlignment="1">
      <alignment wrapText="1"/>
    </xf>
    <xf numFmtId="2" fontId="0" fillId="0" borderId="5" xfId="0" applyNumberFormat="1" applyBorder="1"/>
    <xf numFmtId="2" fontId="0" fillId="0" borderId="8" xfId="0" applyNumberFormat="1" applyBorder="1"/>
    <xf numFmtId="0" fontId="4" fillId="0" borderId="10" xfId="0" applyFont="1" applyBorder="1" applyAlignment="1">
      <alignment horizontal="center" vertical="center"/>
    </xf>
    <xf numFmtId="0" fontId="4" fillId="0" borderId="9" xfId="0" applyFont="1" applyBorder="1" applyAlignment="1">
      <alignment horizontal="center" vertical="center"/>
    </xf>
    <xf numFmtId="0" fontId="0" fillId="0" borderId="11" xfId="0" applyBorder="1"/>
    <xf numFmtId="0" fontId="0" fillId="0" borderId="12" xfId="0" applyBorder="1"/>
    <xf numFmtId="2" fontId="0" fillId="0" borderId="11" xfId="0" applyNumberFormat="1" applyBorder="1"/>
    <xf numFmtId="2" fontId="0" fillId="0" borderId="12" xfId="0" applyNumberFormat="1" applyBorder="1"/>
    <xf numFmtId="14" fontId="0" fillId="0" borderId="11" xfId="0" applyNumberFormat="1" applyBorder="1"/>
    <xf numFmtId="14" fontId="0" fillId="0" borderId="12" xfId="0" applyNumberFormat="1" applyBorder="1"/>
    <xf numFmtId="0" fontId="4" fillId="0" borderId="9" xfId="0" applyFont="1" applyBorder="1" applyAlignment="1">
      <alignment horizontal="center"/>
    </xf>
    <xf numFmtId="0" fontId="4" fillId="0" borderId="10" xfId="0" applyFont="1" applyBorder="1" applyAlignment="1">
      <alignment horizontal="center"/>
    </xf>
    <xf numFmtId="0" fontId="0" fillId="0" borderId="0" xfId="0" pivotButton="1"/>
    <xf numFmtId="14" fontId="0" fillId="0" borderId="0" xfId="0" applyNumberFormat="1" applyAlignment="1">
      <alignment horizontal="left"/>
    </xf>
    <xf numFmtId="0" fontId="0" fillId="0" borderId="0" xfId="0" applyAlignment="1">
      <alignment horizontal="left"/>
    </xf>
    <xf numFmtId="0" fontId="2" fillId="0" borderId="13" xfId="0" applyFont="1" applyBorder="1" applyAlignment="1">
      <alignment horizontal="center"/>
    </xf>
    <xf numFmtId="0" fontId="2" fillId="0" borderId="14" xfId="0" applyFont="1" applyBorder="1" applyAlignment="1">
      <alignment horizontal="center"/>
    </xf>
    <xf numFmtId="0" fontId="2" fillId="0" borderId="10" xfId="0" applyFont="1" applyBorder="1" applyAlignment="1">
      <alignment horizontal="center"/>
    </xf>
    <xf numFmtId="0" fontId="3" fillId="0" borderId="4" xfId="0" applyFont="1" applyBorder="1"/>
    <xf numFmtId="14" fontId="3" fillId="0" borderId="0" xfId="0" applyNumberFormat="1" applyFont="1"/>
    <xf numFmtId="0" fontId="3" fillId="0" borderId="0" xfId="0" applyFont="1"/>
    <xf numFmtId="0" fontId="3" fillId="0" borderId="5" xfId="0" applyFont="1" applyBorder="1"/>
    <xf numFmtId="0" fontId="3" fillId="0" borderId="6" xfId="0" applyFont="1" applyBorder="1"/>
    <xf numFmtId="14" fontId="3" fillId="0" borderId="7" xfId="0" applyNumberFormat="1" applyFont="1" applyBorder="1"/>
    <xf numFmtId="0" fontId="3" fillId="0" borderId="7" xfId="0" applyFont="1" applyBorder="1"/>
    <xf numFmtId="0" fontId="3" fillId="0" borderId="8" xfId="0" applyFont="1" applyBorder="1"/>
    <xf numFmtId="2" fontId="0" fillId="0" borderId="0" xfId="0" applyNumberFormat="1"/>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0" xfId="0" applyNumberFormat="1"/>
  </cellXfs>
  <cellStyles count="1">
    <cellStyle name="Normal" xfId="0" builtinId="0"/>
  </cellStyles>
  <dxfs count="12">
    <dxf>
      <font>
        <color rgb="FF006100"/>
      </font>
      <fill>
        <patternFill patternType="none">
          <bgColor auto="1"/>
        </patternFill>
      </fill>
    </dxf>
    <dxf>
      <font>
        <color rgb="FF9C0006"/>
      </font>
      <fill>
        <patternFill patternType="none">
          <bgColor auto="1"/>
        </patternFill>
      </fill>
    </dxf>
    <dxf>
      <font>
        <color theme="7" tint="-0.24994659260841701"/>
      </font>
      <fill>
        <patternFill patternType="none">
          <bgColor auto="1"/>
        </patternFill>
      </fill>
    </dxf>
    <dxf>
      <font>
        <color rgb="FF006100"/>
      </font>
      <fill>
        <patternFill patternType="none">
          <bgColor auto="1"/>
        </patternFill>
      </fill>
    </dxf>
    <dxf>
      <font>
        <color rgb="FF9C0006"/>
      </font>
      <fill>
        <patternFill patternType="none">
          <bgColor auto="1"/>
        </patternFill>
      </fill>
    </dxf>
    <dxf>
      <font>
        <color theme="7" tint="-0.24994659260841701"/>
      </font>
      <fill>
        <patternFill patternType="none">
          <bgColor auto="1"/>
        </patternFill>
      </fill>
    </dxf>
    <dxf>
      <font>
        <color rgb="FF006100"/>
      </font>
      <fill>
        <patternFill patternType="none">
          <bgColor auto="1"/>
        </patternFill>
      </fill>
    </dxf>
    <dxf>
      <font>
        <color rgb="FF9C0006"/>
      </font>
      <fill>
        <patternFill patternType="none">
          <bgColor auto="1"/>
        </patternFill>
      </fill>
    </dxf>
    <dxf>
      <font>
        <color theme="7" tint="-0.24994659260841701"/>
      </font>
      <fill>
        <patternFill patternType="none">
          <bgColor auto="1"/>
        </patternFill>
      </fill>
    </dxf>
    <dxf>
      <font>
        <color rgb="FF006100"/>
      </font>
      <fill>
        <patternFill patternType="none">
          <bgColor auto="1"/>
        </patternFill>
      </fill>
    </dxf>
    <dxf>
      <font>
        <color rgb="FF9C0006"/>
      </font>
      <fill>
        <patternFill patternType="none">
          <bgColor auto="1"/>
        </patternFill>
      </fill>
    </dxf>
    <dxf>
      <font>
        <color theme="7" tint="-0.24994659260841701"/>
      </font>
      <fill>
        <patternFill patternType="none">
          <bgColor auto="1"/>
        </patternFill>
      </fill>
    </dxf>
  </dxfs>
  <tableStyles count="1" defaultTableStyle="TableStyleMedium2" defaultPivotStyle="PivotStyleLight16">
    <tableStyle name="Invisible" pivot="0" table="0" count="0" xr9:uid="{28458E9A-744B-4BA0-ABB4-CFA5A1537E1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4. Final Analysis &amp; Dashboard.xlsx]Pivot Table 1!PivotTable2</c:name>
    <c:fmtId val="14"/>
  </c:pivotSource>
  <c:chart>
    <c:title>
      <c:tx>
        <c:rich>
          <a:bodyPr rot="0" spcFirstLastPara="1" vertOverflow="ellipsis" vert="horz" wrap="square" anchor="t" anchorCtr="1"/>
          <a:lstStyle/>
          <a:p>
            <a:pPr algn="ctr">
              <a:defRPr sz="1600" b="1" i="0" u="none" strike="noStrike" kern="1200" spc="0" baseline="0">
                <a:solidFill>
                  <a:schemeClr val="tx1">
                    <a:lumMod val="65000"/>
                    <a:lumOff val="35000"/>
                  </a:schemeClr>
                </a:solidFill>
                <a:latin typeface="+mn-lt"/>
                <a:ea typeface="+mn-ea"/>
                <a:cs typeface="+mn-cs"/>
              </a:defRPr>
            </a:pPr>
            <a:r>
              <a:rPr lang="en-US" sz="1600" b="1"/>
              <a:t>Weekly Distance</a:t>
            </a:r>
            <a:r>
              <a:rPr lang="en-US" sz="1600" b="1" baseline="0"/>
              <a:t> Traveled and Calories Trend</a:t>
            </a:r>
            <a:endParaRPr lang="en-US" sz="1600" b="1"/>
          </a:p>
        </c:rich>
      </c:tx>
      <c:layout>
        <c:manualLayout>
          <c:xMode val="edge"/>
          <c:yMode val="edge"/>
          <c:x val="0.145604689709145"/>
          <c:y val="2.9239766081871343E-2"/>
        </c:manualLayout>
      </c:layout>
      <c:overlay val="0"/>
      <c:spPr>
        <a:noFill/>
        <a:ln>
          <a:noFill/>
        </a:ln>
        <a:effectLst/>
      </c:spPr>
      <c:txPr>
        <a:bodyPr rot="0" spcFirstLastPara="1" vertOverflow="ellipsis" vert="horz" wrap="square" anchor="t" anchorCtr="1"/>
        <a:lstStyle/>
        <a:p>
          <a:pPr algn="ct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bg1">
                <a:lumMod val="6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5400" cap="rnd">
            <a:solidFill>
              <a:schemeClr val="bg1">
                <a:lumMod val="65000"/>
              </a:schemeClr>
            </a:solidFill>
            <a:prstDash val="solid"/>
            <a:round/>
          </a:ln>
          <a:effectLst/>
        </c:spPr>
        <c:marker>
          <c:symbol val="none"/>
        </c:marker>
      </c:pivotFmt>
    </c:pivotFmts>
    <c:plotArea>
      <c:layout/>
      <c:barChart>
        <c:barDir val="col"/>
        <c:grouping val="clustered"/>
        <c:varyColors val="0"/>
        <c:ser>
          <c:idx val="0"/>
          <c:order val="0"/>
          <c:tx>
            <c:strRef>
              <c:f>'Pivot Table 1'!$F$1</c:f>
              <c:strCache>
                <c:ptCount val="1"/>
                <c:pt idx="0">
                  <c:v>Average Distance</c:v>
                </c:pt>
              </c:strCache>
            </c:strRef>
          </c:tx>
          <c:spPr>
            <a:solidFill>
              <a:schemeClr val="accent1">
                <a:lumMod val="75000"/>
              </a:schemeClr>
            </a:solidFill>
            <a:ln>
              <a:noFill/>
            </a:ln>
            <a:effectLst/>
          </c:spPr>
          <c:invertIfNegative val="0"/>
          <c:cat>
            <c:strRef>
              <c:f>'Pivot Table 1'!$E$2:$E$8</c:f>
              <c:strCache>
                <c:ptCount val="7"/>
                <c:pt idx="0">
                  <c:v>Monday</c:v>
                </c:pt>
                <c:pt idx="1">
                  <c:v>Tuesday</c:v>
                </c:pt>
                <c:pt idx="2">
                  <c:v>Wednesday</c:v>
                </c:pt>
                <c:pt idx="3">
                  <c:v>Thursday</c:v>
                </c:pt>
                <c:pt idx="4">
                  <c:v>Friday</c:v>
                </c:pt>
                <c:pt idx="5">
                  <c:v>Saturday</c:v>
                </c:pt>
                <c:pt idx="6">
                  <c:v>Sunday</c:v>
                </c:pt>
              </c:strCache>
            </c:strRef>
          </c:cat>
          <c:val>
            <c:numRef>
              <c:f>'Pivot Table 1'!$F$2:$F$8</c:f>
              <c:numCache>
                <c:formatCode>General</c:formatCode>
                <c:ptCount val="7"/>
                <c:pt idx="0">
                  <c:v>5.5529166602219151</c:v>
                </c:pt>
                <c:pt idx="1">
                  <c:v>5.832236808050717</c:v>
                </c:pt>
                <c:pt idx="2">
                  <c:v>5.4883333278323212</c:v>
                </c:pt>
                <c:pt idx="3">
                  <c:v>5.3122449235065652</c:v>
                </c:pt>
                <c:pt idx="4">
                  <c:v>5.309920621326282</c:v>
                </c:pt>
                <c:pt idx="5">
                  <c:v>5.8546774227082024</c:v>
                </c:pt>
                <c:pt idx="6">
                  <c:v>5.0271900736934647</c:v>
                </c:pt>
              </c:numCache>
            </c:numRef>
          </c:val>
          <c:extLst>
            <c:ext xmlns:c16="http://schemas.microsoft.com/office/drawing/2014/chart" uri="{C3380CC4-5D6E-409C-BE32-E72D297353CC}">
              <c16:uniqueId val="{00000000-5A90-45DD-BA40-9916E89211A3}"/>
            </c:ext>
          </c:extLst>
        </c:ser>
        <c:dLbls>
          <c:showLegendKey val="0"/>
          <c:showVal val="0"/>
          <c:showCatName val="0"/>
          <c:showSerName val="0"/>
          <c:showPercent val="0"/>
          <c:showBubbleSize val="0"/>
        </c:dLbls>
        <c:gapWidth val="150"/>
        <c:overlap val="-27"/>
        <c:axId val="691038975"/>
        <c:axId val="693066799"/>
      </c:barChart>
      <c:lineChart>
        <c:grouping val="standard"/>
        <c:varyColors val="0"/>
        <c:ser>
          <c:idx val="1"/>
          <c:order val="1"/>
          <c:tx>
            <c:strRef>
              <c:f>'Pivot Table 1'!$G$1</c:f>
              <c:strCache>
                <c:ptCount val="1"/>
                <c:pt idx="0">
                  <c:v>Average Calories</c:v>
                </c:pt>
              </c:strCache>
            </c:strRef>
          </c:tx>
          <c:spPr>
            <a:ln w="25400" cap="rnd">
              <a:solidFill>
                <a:schemeClr val="bg1">
                  <a:lumMod val="65000"/>
                </a:schemeClr>
              </a:solidFill>
              <a:prstDash val="solid"/>
              <a:round/>
            </a:ln>
            <a:effectLst/>
          </c:spPr>
          <c:marker>
            <c:symbol val="none"/>
          </c:marker>
          <c:cat>
            <c:strRef>
              <c:f>'Pivot Table 1'!$E$2:$E$8</c:f>
              <c:strCache>
                <c:ptCount val="7"/>
                <c:pt idx="0">
                  <c:v>Monday</c:v>
                </c:pt>
                <c:pt idx="1">
                  <c:v>Tuesday</c:v>
                </c:pt>
                <c:pt idx="2">
                  <c:v>Wednesday</c:v>
                </c:pt>
                <c:pt idx="3">
                  <c:v>Thursday</c:v>
                </c:pt>
                <c:pt idx="4">
                  <c:v>Friday</c:v>
                </c:pt>
                <c:pt idx="5">
                  <c:v>Saturday</c:v>
                </c:pt>
                <c:pt idx="6">
                  <c:v>Sunday</c:v>
                </c:pt>
              </c:strCache>
            </c:strRef>
          </c:cat>
          <c:val>
            <c:numRef>
              <c:f>'Pivot Table 1'!$G$2:$G$8</c:f>
              <c:numCache>
                <c:formatCode>General</c:formatCode>
                <c:ptCount val="7"/>
                <c:pt idx="0">
                  <c:v>2324.2083333333335</c:v>
                </c:pt>
                <c:pt idx="1">
                  <c:v>2356.0131578947367</c:v>
                </c:pt>
                <c:pt idx="2">
                  <c:v>2302.62</c:v>
                </c:pt>
                <c:pt idx="3">
                  <c:v>2199.5714285714284</c:v>
                </c:pt>
                <c:pt idx="4">
                  <c:v>2331.7857142857142</c:v>
                </c:pt>
                <c:pt idx="5">
                  <c:v>2354.9677419354839</c:v>
                </c:pt>
                <c:pt idx="6">
                  <c:v>2263</c:v>
                </c:pt>
              </c:numCache>
            </c:numRef>
          </c:val>
          <c:smooth val="0"/>
          <c:extLst>
            <c:ext xmlns:c16="http://schemas.microsoft.com/office/drawing/2014/chart" uri="{C3380CC4-5D6E-409C-BE32-E72D297353CC}">
              <c16:uniqueId val="{00000001-5A90-45DD-BA40-9916E89211A3}"/>
            </c:ext>
          </c:extLst>
        </c:ser>
        <c:dLbls>
          <c:showLegendKey val="0"/>
          <c:showVal val="0"/>
          <c:showCatName val="0"/>
          <c:showSerName val="0"/>
          <c:showPercent val="0"/>
          <c:showBubbleSize val="0"/>
        </c:dLbls>
        <c:marker val="1"/>
        <c:smooth val="0"/>
        <c:axId val="693044719"/>
        <c:axId val="693047599"/>
      </c:lineChart>
      <c:catAx>
        <c:axId val="69304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047599"/>
        <c:crosses val="autoZero"/>
        <c:auto val="1"/>
        <c:lblAlgn val="ctr"/>
        <c:lblOffset val="100"/>
        <c:noMultiLvlLbl val="0"/>
      </c:catAx>
      <c:valAx>
        <c:axId val="693047599"/>
        <c:scaling>
          <c:orientation val="minMax"/>
        </c:scaling>
        <c:delete val="0"/>
        <c:axPos val="l"/>
        <c:majorGridlines>
          <c:spPr>
            <a:ln w="6350" cap="flat" cmpd="sng" algn="ctr">
              <a:solidFill>
                <a:schemeClr val="bg1">
                  <a:lumMod val="65000"/>
                </a:schemeClr>
              </a:solidFill>
              <a:prstDash val="sysDot"/>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Calories</a:t>
                </a:r>
                <a:r>
                  <a:rPr lang="en-US" baseline="0"/>
                  <a:t> Burned</a:t>
                </a:r>
                <a:endParaRPr lang="en-US"/>
              </a:p>
            </c:rich>
          </c:tx>
          <c:layout>
            <c:manualLayout>
              <c:xMode val="edge"/>
              <c:yMode val="edge"/>
              <c:x val="1.1720581340834505E-2"/>
              <c:y val="0.423213381222084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044719"/>
        <c:crosses val="autoZero"/>
        <c:crossBetween val="between"/>
      </c:valAx>
      <c:valAx>
        <c:axId val="69306679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Distance</a:t>
                </a:r>
              </a:p>
            </c:rich>
          </c:tx>
          <c:layout>
            <c:manualLayout>
              <c:xMode val="edge"/>
              <c:yMode val="edge"/>
              <c:x val="0.94794880597731213"/>
              <c:y val="0.434129560559315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38975"/>
        <c:crosses val="max"/>
        <c:crossBetween val="between"/>
      </c:valAx>
      <c:catAx>
        <c:axId val="691038975"/>
        <c:scaling>
          <c:orientation val="minMax"/>
        </c:scaling>
        <c:delete val="1"/>
        <c:axPos val="b"/>
        <c:numFmt formatCode="General" sourceLinked="1"/>
        <c:majorTickMark val="out"/>
        <c:minorTickMark val="none"/>
        <c:tickLblPos val="nextTo"/>
        <c:crossAx val="69306679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4. Final Analysis &amp; Dashboard.xlsx]Pivot Table 1!PivotTable1</c:name>
    <c:fmtId val="11"/>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Daily Distance Traveled and Calories Trend</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c:f>
              <c:strCache>
                <c:ptCount val="1"/>
                <c:pt idx="0">
                  <c:v>Average Distance</c:v>
                </c:pt>
              </c:strCache>
            </c:strRef>
          </c:tx>
          <c:spPr>
            <a:solidFill>
              <a:schemeClr val="accent1">
                <a:lumMod val="75000"/>
              </a:schemeClr>
            </a:solidFill>
            <a:ln>
              <a:noFill/>
            </a:ln>
            <a:effectLst/>
          </c:spPr>
          <c:invertIfNegative val="0"/>
          <c:cat>
            <c:strRef>
              <c:f>'Pivot Table 1'!$A$2:$A$32</c:f>
              <c:strCache>
                <c:ptCount val="31"/>
                <c:pt idx="0">
                  <c:v>12-04-2016</c:v>
                </c:pt>
                <c:pt idx="1">
                  <c:v>13-04-2016</c:v>
                </c:pt>
                <c:pt idx="2">
                  <c:v>14-04-2016</c:v>
                </c:pt>
                <c:pt idx="3">
                  <c:v>15-04-2016</c:v>
                </c:pt>
                <c:pt idx="4">
                  <c:v>16-04-2016</c:v>
                </c:pt>
                <c:pt idx="5">
                  <c:v>17-04-2016</c:v>
                </c:pt>
                <c:pt idx="6">
                  <c:v>18-04-2016</c:v>
                </c:pt>
                <c:pt idx="7">
                  <c:v>19-04-2016</c:v>
                </c:pt>
                <c:pt idx="8">
                  <c:v>20-04-2016</c:v>
                </c:pt>
                <c:pt idx="9">
                  <c:v>21-04-2016</c:v>
                </c:pt>
                <c:pt idx="10">
                  <c:v>22-04-2016</c:v>
                </c:pt>
                <c:pt idx="11">
                  <c:v>23-04-2016</c:v>
                </c:pt>
                <c:pt idx="12">
                  <c:v>24-04-2016</c:v>
                </c:pt>
                <c:pt idx="13">
                  <c:v>25-04-2016</c:v>
                </c:pt>
                <c:pt idx="14">
                  <c:v>26-04-2016</c:v>
                </c:pt>
                <c:pt idx="15">
                  <c:v>27-04-2016</c:v>
                </c:pt>
                <c:pt idx="16">
                  <c:v>28-04-2016</c:v>
                </c:pt>
                <c:pt idx="17">
                  <c:v>29-04-2016</c:v>
                </c:pt>
                <c:pt idx="18">
                  <c:v>30-04-2016</c:v>
                </c:pt>
                <c:pt idx="19">
                  <c:v>01-05-2016</c:v>
                </c:pt>
                <c:pt idx="20">
                  <c:v>02-05-2016</c:v>
                </c:pt>
                <c:pt idx="21">
                  <c:v>03-05-2016</c:v>
                </c:pt>
                <c:pt idx="22">
                  <c:v>04-05-2016</c:v>
                </c:pt>
                <c:pt idx="23">
                  <c:v>05-05-2016</c:v>
                </c:pt>
                <c:pt idx="24">
                  <c:v>06-05-2016</c:v>
                </c:pt>
                <c:pt idx="25">
                  <c:v>07-05-2016</c:v>
                </c:pt>
                <c:pt idx="26">
                  <c:v>08-05-2016</c:v>
                </c:pt>
                <c:pt idx="27">
                  <c:v>09-05-2016</c:v>
                </c:pt>
                <c:pt idx="28">
                  <c:v>10-05-2016</c:v>
                </c:pt>
                <c:pt idx="29">
                  <c:v>11-05-2016</c:v>
                </c:pt>
                <c:pt idx="30">
                  <c:v>12-05-2016</c:v>
                </c:pt>
              </c:strCache>
            </c:strRef>
          </c:cat>
          <c:val>
            <c:numRef>
              <c:f>'Pivot Table 1'!$B$2:$B$32</c:f>
              <c:numCache>
                <c:formatCode>General</c:formatCode>
                <c:ptCount val="31"/>
                <c:pt idx="0">
                  <c:v>5.9827272485602991</c:v>
                </c:pt>
                <c:pt idx="1">
                  <c:v>5.1033333160660481</c:v>
                </c:pt>
                <c:pt idx="2">
                  <c:v>5.5993939624591302</c:v>
                </c:pt>
                <c:pt idx="3">
                  <c:v>5.2878787770415796</c:v>
                </c:pt>
                <c:pt idx="4">
                  <c:v>6.2915625174646248</c:v>
                </c:pt>
                <c:pt idx="5">
                  <c:v>4.5406249602674507</c:v>
                </c:pt>
                <c:pt idx="6">
                  <c:v>5.657812474993988</c:v>
                </c:pt>
                <c:pt idx="7">
                  <c:v>5.8718749247491324</c:v>
                </c:pt>
                <c:pt idx="8">
                  <c:v>5.9503125439514415</c:v>
                </c:pt>
                <c:pt idx="9">
                  <c:v>6.030000067315993</c:v>
                </c:pt>
                <c:pt idx="10">
                  <c:v>5.3278124725911784</c:v>
                </c:pt>
                <c:pt idx="11">
                  <c:v>5.8412500396370906</c:v>
                </c:pt>
                <c:pt idx="12">
                  <c:v>5.4675000272691285</c:v>
                </c:pt>
                <c:pt idx="13">
                  <c:v>5.6328125181607911</c:v>
                </c:pt>
                <c:pt idx="14">
                  <c:v>5.5346875265240651</c:v>
                </c:pt>
                <c:pt idx="15">
                  <c:v>5.9153124988079089</c:v>
                </c:pt>
                <c:pt idx="16">
                  <c:v>5.3615625165402907</c:v>
                </c:pt>
                <c:pt idx="17">
                  <c:v>5.1812499882071306</c:v>
                </c:pt>
                <c:pt idx="18">
                  <c:v>6.1006451037622274</c:v>
                </c:pt>
                <c:pt idx="19">
                  <c:v>4.9749999940395355</c:v>
                </c:pt>
                <c:pt idx="20">
                  <c:v>4.9672413643064184</c:v>
                </c:pt>
                <c:pt idx="21">
                  <c:v>6.0944827448833614</c:v>
                </c:pt>
                <c:pt idx="22">
                  <c:v>4.9403447919878456</c:v>
                </c:pt>
                <c:pt idx="23">
                  <c:v>6.2165517437046933</c:v>
                </c:pt>
                <c:pt idx="24">
                  <c:v>5.4572413758342639</c:v>
                </c:pt>
                <c:pt idx="25">
                  <c:v>5.1244827714459618</c:v>
                </c:pt>
                <c:pt idx="26">
                  <c:v>5.1399999812797281</c:v>
                </c:pt>
                <c:pt idx="27">
                  <c:v>5.9629629585478066</c:v>
                </c:pt>
                <c:pt idx="28">
                  <c:v>5.6661537530330515</c:v>
                </c:pt>
                <c:pt idx="29">
                  <c:v>5.4945833086967468</c:v>
                </c:pt>
                <c:pt idx="30">
                  <c:v>2.4433333211179296</c:v>
                </c:pt>
              </c:numCache>
            </c:numRef>
          </c:val>
          <c:extLst>
            <c:ext xmlns:c16="http://schemas.microsoft.com/office/drawing/2014/chart" uri="{C3380CC4-5D6E-409C-BE32-E72D297353CC}">
              <c16:uniqueId val="{00000002-4C94-45C6-A6B1-F32FA8BE7814}"/>
            </c:ext>
          </c:extLst>
        </c:ser>
        <c:dLbls>
          <c:showLegendKey val="0"/>
          <c:showVal val="0"/>
          <c:showCatName val="0"/>
          <c:showSerName val="0"/>
          <c:showPercent val="0"/>
          <c:showBubbleSize val="0"/>
        </c:dLbls>
        <c:gapWidth val="175"/>
        <c:axId val="888338879"/>
        <c:axId val="888336959"/>
      </c:barChart>
      <c:lineChart>
        <c:grouping val="standard"/>
        <c:varyColors val="0"/>
        <c:ser>
          <c:idx val="1"/>
          <c:order val="1"/>
          <c:tx>
            <c:strRef>
              <c:f>'Pivot Table 1'!$C$1</c:f>
              <c:strCache>
                <c:ptCount val="1"/>
                <c:pt idx="0">
                  <c:v>Average Calories</c:v>
                </c:pt>
              </c:strCache>
            </c:strRef>
          </c:tx>
          <c:spPr>
            <a:ln w="25400" cap="rnd">
              <a:solidFill>
                <a:schemeClr val="bg1">
                  <a:lumMod val="65000"/>
                </a:schemeClr>
              </a:solidFill>
              <a:round/>
            </a:ln>
            <a:effectLst/>
          </c:spPr>
          <c:marker>
            <c:symbol val="none"/>
          </c:marker>
          <c:cat>
            <c:strRef>
              <c:f>'Pivot Table 1'!$A$2:$A$32</c:f>
              <c:strCache>
                <c:ptCount val="31"/>
                <c:pt idx="0">
                  <c:v>12-04-2016</c:v>
                </c:pt>
                <c:pt idx="1">
                  <c:v>13-04-2016</c:v>
                </c:pt>
                <c:pt idx="2">
                  <c:v>14-04-2016</c:v>
                </c:pt>
                <c:pt idx="3">
                  <c:v>15-04-2016</c:v>
                </c:pt>
                <c:pt idx="4">
                  <c:v>16-04-2016</c:v>
                </c:pt>
                <c:pt idx="5">
                  <c:v>17-04-2016</c:v>
                </c:pt>
                <c:pt idx="6">
                  <c:v>18-04-2016</c:v>
                </c:pt>
                <c:pt idx="7">
                  <c:v>19-04-2016</c:v>
                </c:pt>
                <c:pt idx="8">
                  <c:v>20-04-2016</c:v>
                </c:pt>
                <c:pt idx="9">
                  <c:v>21-04-2016</c:v>
                </c:pt>
                <c:pt idx="10">
                  <c:v>22-04-2016</c:v>
                </c:pt>
                <c:pt idx="11">
                  <c:v>23-04-2016</c:v>
                </c:pt>
                <c:pt idx="12">
                  <c:v>24-04-2016</c:v>
                </c:pt>
                <c:pt idx="13">
                  <c:v>25-04-2016</c:v>
                </c:pt>
                <c:pt idx="14">
                  <c:v>26-04-2016</c:v>
                </c:pt>
                <c:pt idx="15">
                  <c:v>27-04-2016</c:v>
                </c:pt>
                <c:pt idx="16">
                  <c:v>28-04-2016</c:v>
                </c:pt>
                <c:pt idx="17">
                  <c:v>29-04-2016</c:v>
                </c:pt>
                <c:pt idx="18">
                  <c:v>30-04-2016</c:v>
                </c:pt>
                <c:pt idx="19">
                  <c:v>01-05-2016</c:v>
                </c:pt>
                <c:pt idx="20">
                  <c:v>02-05-2016</c:v>
                </c:pt>
                <c:pt idx="21">
                  <c:v>03-05-2016</c:v>
                </c:pt>
                <c:pt idx="22">
                  <c:v>04-05-2016</c:v>
                </c:pt>
                <c:pt idx="23">
                  <c:v>05-05-2016</c:v>
                </c:pt>
                <c:pt idx="24">
                  <c:v>06-05-2016</c:v>
                </c:pt>
                <c:pt idx="25">
                  <c:v>07-05-2016</c:v>
                </c:pt>
                <c:pt idx="26">
                  <c:v>08-05-2016</c:v>
                </c:pt>
                <c:pt idx="27">
                  <c:v>09-05-2016</c:v>
                </c:pt>
                <c:pt idx="28">
                  <c:v>10-05-2016</c:v>
                </c:pt>
                <c:pt idx="29">
                  <c:v>11-05-2016</c:v>
                </c:pt>
                <c:pt idx="30">
                  <c:v>12-05-2016</c:v>
                </c:pt>
              </c:strCache>
            </c:strRef>
          </c:cat>
          <c:val>
            <c:numRef>
              <c:f>'Pivot Table 1'!$C$2:$C$32</c:f>
              <c:numCache>
                <c:formatCode>General</c:formatCode>
                <c:ptCount val="31"/>
                <c:pt idx="0">
                  <c:v>2390.6969696969695</c:v>
                </c:pt>
                <c:pt idx="1">
                  <c:v>2286.6363636363635</c:v>
                </c:pt>
                <c:pt idx="2">
                  <c:v>2356.3939393939395</c:v>
                </c:pt>
                <c:pt idx="3">
                  <c:v>2355.181818181818</c:v>
                </c:pt>
                <c:pt idx="4">
                  <c:v>2392.9375</c:v>
                </c:pt>
                <c:pt idx="5">
                  <c:v>2230.96875</c:v>
                </c:pt>
                <c:pt idx="6">
                  <c:v>2333.375</c:v>
                </c:pt>
                <c:pt idx="7">
                  <c:v>2359.09375</c:v>
                </c:pt>
                <c:pt idx="8">
                  <c:v>2395.21875</c:v>
                </c:pt>
                <c:pt idx="9">
                  <c:v>2421.875</c:v>
                </c:pt>
                <c:pt idx="10">
                  <c:v>2327.65625</c:v>
                </c:pt>
                <c:pt idx="11">
                  <c:v>2397.15625</c:v>
                </c:pt>
                <c:pt idx="12">
                  <c:v>2291.4375</c:v>
                </c:pt>
                <c:pt idx="13">
                  <c:v>2349.5625</c:v>
                </c:pt>
                <c:pt idx="14">
                  <c:v>2331.375</c:v>
                </c:pt>
                <c:pt idx="15">
                  <c:v>2328.5625</c:v>
                </c:pt>
                <c:pt idx="16">
                  <c:v>2316.0625</c:v>
                </c:pt>
                <c:pt idx="17">
                  <c:v>2272.5625</c:v>
                </c:pt>
                <c:pt idx="18">
                  <c:v>2373.9354838709678</c:v>
                </c:pt>
                <c:pt idx="19">
                  <c:v>2230.4333333333334</c:v>
                </c:pt>
                <c:pt idx="20">
                  <c:v>2275.4482758620688</c:v>
                </c:pt>
                <c:pt idx="21">
                  <c:v>2453.8965517241381</c:v>
                </c:pt>
                <c:pt idx="22">
                  <c:v>2283.1379310344828</c:v>
                </c:pt>
                <c:pt idx="23">
                  <c:v>2415.0689655172414</c:v>
                </c:pt>
                <c:pt idx="24">
                  <c:v>2375.0689655172414</c:v>
                </c:pt>
                <c:pt idx="25">
                  <c:v>2246.2413793103447</c:v>
                </c:pt>
                <c:pt idx="26">
                  <c:v>2303.4444444444443</c:v>
                </c:pt>
                <c:pt idx="27">
                  <c:v>2335.6666666666665</c:v>
                </c:pt>
                <c:pt idx="28">
                  <c:v>2229.3461538461538</c:v>
                </c:pt>
                <c:pt idx="29">
                  <c:v>2190.0833333333335</c:v>
                </c:pt>
                <c:pt idx="30">
                  <c:v>1139.2857142857142</c:v>
                </c:pt>
              </c:numCache>
            </c:numRef>
          </c:val>
          <c:smooth val="0"/>
          <c:extLst>
            <c:ext xmlns:c16="http://schemas.microsoft.com/office/drawing/2014/chart" uri="{C3380CC4-5D6E-409C-BE32-E72D297353CC}">
              <c16:uniqueId val="{00000003-4C94-45C6-A6B1-F32FA8BE7814}"/>
            </c:ext>
          </c:extLst>
        </c:ser>
        <c:dLbls>
          <c:showLegendKey val="0"/>
          <c:showVal val="0"/>
          <c:showCatName val="0"/>
          <c:showSerName val="0"/>
          <c:showPercent val="0"/>
          <c:showBubbleSize val="0"/>
        </c:dLbls>
        <c:marker val="1"/>
        <c:smooth val="0"/>
        <c:axId val="693059599"/>
        <c:axId val="693049999"/>
      </c:lineChart>
      <c:catAx>
        <c:axId val="69305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049999"/>
        <c:crosses val="autoZero"/>
        <c:auto val="1"/>
        <c:lblAlgn val="ctr"/>
        <c:lblOffset val="50"/>
        <c:tickLblSkip val="5"/>
        <c:tickMarkSkip val="1"/>
        <c:noMultiLvlLbl val="0"/>
      </c:catAx>
      <c:valAx>
        <c:axId val="693049999"/>
        <c:scaling>
          <c:orientation val="minMax"/>
        </c:scaling>
        <c:delete val="0"/>
        <c:axPos val="l"/>
        <c:majorGridlines>
          <c:spPr>
            <a:ln w="6350" cap="flat" cmpd="sng" algn="ctr">
              <a:solidFill>
                <a:schemeClr val="bg1">
                  <a:lumMod val="65000"/>
                </a:schemeClr>
              </a:solidFill>
              <a:prstDash val="sysDot"/>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Calories Burned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059599"/>
        <c:crosses val="autoZero"/>
        <c:crossBetween val="between"/>
      </c:valAx>
      <c:valAx>
        <c:axId val="88833695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Distance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338879"/>
        <c:crosses val="max"/>
        <c:crossBetween val="between"/>
      </c:valAx>
      <c:catAx>
        <c:axId val="888338879"/>
        <c:scaling>
          <c:orientation val="minMax"/>
        </c:scaling>
        <c:delete val="1"/>
        <c:axPos val="b"/>
        <c:numFmt formatCode="General" sourceLinked="1"/>
        <c:majorTickMark val="out"/>
        <c:minorTickMark val="none"/>
        <c:tickLblPos val="nextTo"/>
        <c:crossAx val="88833695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[Task 4. Final Analysis &amp; Dashboard.xlsx]Pivot Table 2!PivotTable3</c:name>
    <c:fmtId val="8"/>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Gear Useage by Users</a:t>
            </a:r>
          </a:p>
        </c:rich>
      </c:tx>
      <c:layout>
        <c:manualLayout>
          <c:xMode val="edge"/>
          <c:yMode val="edge"/>
          <c:x val="0.18181623573649036"/>
          <c:y val="3.2407407407407406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2'!$A$2:$A$4</c:f>
              <c:strCache>
                <c:ptCount val="3"/>
                <c:pt idx="0">
                  <c:v>Active</c:v>
                </c:pt>
                <c:pt idx="1">
                  <c:v>Light</c:v>
                </c:pt>
                <c:pt idx="2">
                  <c:v>Moderate</c:v>
                </c:pt>
              </c:strCache>
            </c:strRef>
          </c:cat>
          <c:val>
            <c:numRef>
              <c:f>'Pivot Table 2'!$B$2:$B$4</c:f>
              <c:numCache>
                <c:formatCode>General</c:formatCode>
                <c:ptCount val="3"/>
                <c:pt idx="0">
                  <c:v>29</c:v>
                </c:pt>
                <c:pt idx="1">
                  <c:v>1</c:v>
                </c:pt>
                <c:pt idx="2">
                  <c:v>3</c:v>
                </c:pt>
              </c:numCache>
            </c:numRef>
          </c:val>
          <c:extLst>
            <c:ext xmlns:c16="http://schemas.microsoft.com/office/drawing/2014/chart" uri="{C3380CC4-5D6E-409C-BE32-E72D297353CC}">
              <c16:uniqueId val="{00000000-95DB-490E-8E0D-8EA10B7A8099}"/>
            </c:ext>
          </c:extLst>
        </c:ser>
        <c:dLbls>
          <c:dLblPos val="outEnd"/>
          <c:showLegendKey val="0"/>
          <c:showVal val="1"/>
          <c:showCatName val="0"/>
          <c:showSerName val="0"/>
          <c:showPercent val="0"/>
          <c:showBubbleSize val="0"/>
        </c:dLbls>
        <c:gapWidth val="150"/>
        <c:axId val="551727439"/>
        <c:axId val="551723599"/>
      </c:barChart>
      <c:catAx>
        <c:axId val="55172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23599"/>
        <c:crosses val="autoZero"/>
        <c:auto val="1"/>
        <c:lblAlgn val="ctr"/>
        <c:lblOffset val="100"/>
        <c:noMultiLvlLbl val="0"/>
      </c:catAx>
      <c:valAx>
        <c:axId val="551723599"/>
        <c:scaling>
          <c:orientation val="minMax"/>
          <c:max val="3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Count of Users</a:t>
                </a:r>
                <a:endParaRPr lang="en-US" sz="1000"/>
              </a:p>
            </c:rich>
          </c:tx>
          <c:layout>
            <c:manualLayout>
              <c:xMode val="edge"/>
              <c:yMode val="edge"/>
              <c:x val="1.65016501650165E-2"/>
              <c:y val="0.386081948089822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27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4. Final Analysis &amp; Dashboard.xlsx]Pivot Table 2!PivotTable4</c:name>
    <c:fmtId val="3"/>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Travel Activity Level by Users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2'!$E$1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2'!$D$2:$D$4</c:f>
              <c:strCache>
                <c:ptCount val="3"/>
                <c:pt idx="0">
                  <c:v>Beginner</c:v>
                </c:pt>
                <c:pt idx="1">
                  <c:v>Intermediate</c:v>
                </c:pt>
                <c:pt idx="2">
                  <c:v>Pro</c:v>
                </c:pt>
              </c:strCache>
            </c:strRef>
          </c:cat>
          <c:val>
            <c:numRef>
              <c:f>'Pivot Table 2'!$E$2:$E$4</c:f>
              <c:numCache>
                <c:formatCode>General</c:formatCode>
                <c:ptCount val="3"/>
                <c:pt idx="0">
                  <c:v>14</c:v>
                </c:pt>
                <c:pt idx="1">
                  <c:v>17</c:v>
                </c:pt>
                <c:pt idx="2">
                  <c:v>2</c:v>
                </c:pt>
              </c:numCache>
            </c:numRef>
          </c:val>
          <c:extLst>
            <c:ext xmlns:c16="http://schemas.microsoft.com/office/drawing/2014/chart" uri="{C3380CC4-5D6E-409C-BE32-E72D297353CC}">
              <c16:uniqueId val="{00000000-4799-4957-958D-55F1D0720C4E}"/>
            </c:ext>
          </c:extLst>
        </c:ser>
        <c:dLbls>
          <c:dLblPos val="outEnd"/>
          <c:showLegendKey val="0"/>
          <c:showVal val="1"/>
          <c:showCatName val="0"/>
          <c:showSerName val="0"/>
          <c:showPercent val="0"/>
          <c:showBubbleSize val="0"/>
        </c:dLbls>
        <c:gapWidth val="150"/>
        <c:overlap val="-27"/>
        <c:axId val="551717839"/>
        <c:axId val="551742799"/>
      </c:barChart>
      <c:catAx>
        <c:axId val="55171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42799"/>
        <c:crosses val="autoZero"/>
        <c:auto val="1"/>
        <c:lblAlgn val="ctr"/>
        <c:lblOffset val="100"/>
        <c:noMultiLvlLbl val="0"/>
      </c:catAx>
      <c:valAx>
        <c:axId val="5517427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Users</a:t>
                </a:r>
              </a:p>
            </c:rich>
          </c:tx>
          <c:layout>
            <c:manualLayout>
              <c:xMode val="edge"/>
              <c:yMode val="edge"/>
              <c:x val="2.3194168323392977E-2"/>
              <c:y val="0.390491119165659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17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4. Final Analysis &amp; Dashboard.xlsx]Pivot Table 2!PivotTable5</c:name>
    <c:fmtId val="3"/>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Top 5 Users by Average Daily Steps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2'!$H$1</c:f>
              <c:strCache>
                <c:ptCount val="1"/>
                <c:pt idx="0">
                  <c:v>Average of Daily Steps</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2'!$G$2:$G$6</c:f>
              <c:strCache>
                <c:ptCount val="5"/>
                <c:pt idx="0">
                  <c:v>7007744171</c:v>
                </c:pt>
                <c:pt idx="1">
                  <c:v>2022484408</c:v>
                </c:pt>
                <c:pt idx="2">
                  <c:v>1503960366</c:v>
                </c:pt>
                <c:pt idx="3">
                  <c:v>8053475328</c:v>
                </c:pt>
                <c:pt idx="4">
                  <c:v>8877689391</c:v>
                </c:pt>
              </c:strCache>
            </c:strRef>
          </c:cat>
          <c:val>
            <c:numRef>
              <c:f>'Pivot Table 2'!$H$2:$H$6</c:f>
              <c:numCache>
                <c:formatCode>0.00</c:formatCode>
                <c:ptCount val="5"/>
                <c:pt idx="0">
                  <c:v>11323.423076923076</c:v>
                </c:pt>
                <c:pt idx="1">
                  <c:v>11370.645161290322</c:v>
                </c:pt>
                <c:pt idx="2">
                  <c:v>12116.741935483871</c:v>
                </c:pt>
                <c:pt idx="3">
                  <c:v>14763.290322580646</c:v>
                </c:pt>
                <c:pt idx="4">
                  <c:v>16040.032258064517</c:v>
                </c:pt>
              </c:numCache>
            </c:numRef>
          </c:val>
          <c:extLst>
            <c:ext xmlns:c16="http://schemas.microsoft.com/office/drawing/2014/chart" uri="{C3380CC4-5D6E-409C-BE32-E72D297353CC}">
              <c16:uniqueId val="{00000000-9BC0-4CB9-9A5E-7C2D5E5FF9AA}"/>
            </c:ext>
          </c:extLst>
        </c:ser>
        <c:ser>
          <c:idx val="1"/>
          <c:order val="1"/>
          <c:tx>
            <c:strRef>
              <c:f>'Pivot Table 2'!$I$1</c:f>
              <c:strCache>
                <c:ptCount val="1"/>
                <c:pt idx="0">
                  <c:v>Average of Daily Calories</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2'!$G$2:$G$6</c:f>
              <c:strCache>
                <c:ptCount val="5"/>
                <c:pt idx="0">
                  <c:v>7007744171</c:v>
                </c:pt>
                <c:pt idx="1">
                  <c:v>2022484408</c:v>
                </c:pt>
                <c:pt idx="2">
                  <c:v>1503960366</c:v>
                </c:pt>
                <c:pt idx="3">
                  <c:v>8053475328</c:v>
                </c:pt>
                <c:pt idx="4">
                  <c:v>8877689391</c:v>
                </c:pt>
              </c:strCache>
            </c:strRef>
          </c:cat>
          <c:val>
            <c:numRef>
              <c:f>'Pivot Table 2'!$I$2:$I$6</c:f>
              <c:numCache>
                <c:formatCode>0.00</c:formatCode>
                <c:ptCount val="5"/>
                <c:pt idx="0">
                  <c:v>2544</c:v>
                </c:pt>
                <c:pt idx="1">
                  <c:v>2509.9677419354839</c:v>
                </c:pt>
                <c:pt idx="2">
                  <c:v>1816.4193548387098</c:v>
                </c:pt>
                <c:pt idx="3">
                  <c:v>2945.8064516129034</c:v>
                </c:pt>
                <c:pt idx="4">
                  <c:v>3420.2580645161293</c:v>
                </c:pt>
              </c:numCache>
            </c:numRef>
          </c:val>
          <c:extLst>
            <c:ext xmlns:c16="http://schemas.microsoft.com/office/drawing/2014/chart" uri="{C3380CC4-5D6E-409C-BE32-E72D297353CC}">
              <c16:uniqueId val="{00000001-9BC0-4CB9-9A5E-7C2D5E5FF9AA}"/>
            </c:ext>
          </c:extLst>
        </c:ser>
        <c:dLbls>
          <c:dLblPos val="outEnd"/>
          <c:showLegendKey val="0"/>
          <c:showVal val="1"/>
          <c:showCatName val="0"/>
          <c:showSerName val="0"/>
          <c:showPercent val="0"/>
          <c:showBubbleSize val="0"/>
        </c:dLbls>
        <c:gapWidth val="125"/>
        <c:axId val="551740879"/>
        <c:axId val="551743279"/>
      </c:barChart>
      <c:catAx>
        <c:axId val="55174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43279"/>
        <c:crosses val="autoZero"/>
        <c:auto val="1"/>
        <c:lblAlgn val="ctr"/>
        <c:lblOffset val="100"/>
        <c:noMultiLvlLbl val="0"/>
      </c:catAx>
      <c:valAx>
        <c:axId val="551743279"/>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40879"/>
        <c:crosses val="autoZero"/>
        <c:crossBetween val="between"/>
      </c:valAx>
      <c:spPr>
        <a:noFill/>
        <a:ln>
          <a:noFill/>
        </a:ln>
        <a:effectLst/>
      </c:spPr>
    </c:plotArea>
    <c:legend>
      <c:legendPos val="t"/>
      <c:layout>
        <c:manualLayout>
          <c:xMode val="edge"/>
          <c:yMode val="edge"/>
          <c:x val="0.17961738505558258"/>
          <c:y val="0.14076406381192275"/>
          <c:w val="0.64076501080102888"/>
          <c:h val="7.08443245601856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Final Analysis &amp; Dashboard.xlsx]Pivot Table 1!PivotTable1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c:f>
              <c:strCache>
                <c:ptCount val="1"/>
                <c:pt idx="0">
                  <c:v>Average Distance</c:v>
                </c:pt>
              </c:strCache>
            </c:strRef>
          </c:tx>
          <c:spPr>
            <a:solidFill>
              <a:schemeClr val="accent1"/>
            </a:solidFill>
            <a:ln>
              <a:noFill/>
            </a:ln>
            <a:effectLst/>
          </c:spPr>
          <c:invertIfNegative val="0"/>
          <c:cat>
            <c:strRef>
              <c:f>'Pivot Table 1'!$A$2:$A$32</c:f>
              <c:strCache>
                <c:ptCount val="31"/>
                <c:pt idx="0">
                  <c:v>12-04-2016</c:v>
                </c:pt>
                <c:pt idx="1">
                  <c:v>13-04-2016</c:v>
                </c:pt>
                <c:pt idx="2">
                  <c:v>14-04-2016</c:v>
                </c:pt>
                <c:pt idx="3">
                  <c:v>15-04-2016</c:v>
                </c:pt>
                <c:pt idx="4">
                  <c:v>16-04-2016</c:v>
                </c:pt>
                <c:pt idx="5">
                  <c:v>17-04-2016</c:v>
                </c:pt>
                <c:pt idx="6">
                  <c:v>18-04-2016</c:v>
                </c:pt>
                <c:pt idx="7">
                  <c:v>19-04-2016</c:v>
                </c:pt>
                <c:pt idx="8">
                  <c:v>20-04-2016</c:v>
                </c:pt>
                <c:pt idx="9">
                  <c:v>21-04-2016</c:v>
                </c:pt>
                <c:pt idx="10">
                  <c:v>22-04-2016</c:v>
                </c:pt>
                <c:pt idx="11">
                  <c:v>23-04-2016</c:v>
                </c:pt>
                <c:pt idx="12">
                  <c:v>24-04-2016</c:v>
                </c:pt>
                <c:pt idx="13">
                  <c:v>25-04-2016</c:v>
                </c:pt>
                <c:pt idx="14">
                  <c:v>26-04-2016</c:v>
                </c:pt>
                <c:pt idx="15">
                  <c:v>27-04-2016</c:v>
                </c:pt>
                <c:pt idx="16">
                  <c:v>28-04-2016</c:v>
                </c:pt>
                <c:pt idx="17">
                  <c:v>29-04-2016</c:v>
                </c:pt>
                <c:pt idx="18">
                  <c:v>30-04-2016</c:v>
                </c:pt>
                <c:pt idx="19">
                  <c:v>01-05-2016</c:v>
                </c:pt>
                <c:pt idx="20">
                  <c:v>02-05-2016</c:v>
                </c:pt>
                <c:pt idx="21">
                  <c:v>03-05-2016</c:v>
                </c:pt>
                <c:pt idx="22">
                  <c:v>04-05-2016</c:v>
                </c:pt>
                <c:pt idx="23">
                  <c:v>05-05-2016</c:v>
                </c:pt>
                <c:pt idx="24">
                  <c:v>06-05-2016</c:v>
                </c:pt>
                <c:pt idx="25">
                  <c:v>07-05-2016</c:v>
                </c:pt>
                <c:pt idx="26">
                  <c:v>08-05-2016</c:v>
                </c:pt>
                <c:pt idx="27">
                  <c:v>09-05-2016</c:v>
                </c:pt>
                <c:pt idx="28">
                  <c:v>10-05-2016</c:v>
                </c:pt>
                <c:pt idx="29">
                  <c:v>11-05-2016</c:v>
                </c:pt>
                <c:pt idx="30">
                  <c:v>12-05-2016</c:v>
                </c:pt>
              </c:strCache>
            </c:strRef>
          </c:cat>
          <c:val>
            <c:numRef>
              <c:f>'Pivot Table 1'!$B$2:$B$32</c:f>
              <c:numCache>
                <c:formatCode>General</c:formatCode>
                <c:ptCount val="31"/>
                <c:pt idx="0">
                  <c:v>5.9827272485602991</c:v>
                </c:pt>
                <c:pt idx="1">
                  <c:v>5.1033333160660481</c:v>
                </c:pt>
                <c:pt idx="2">
                  <c:v>5.5993939624591302</c:v>
                </c:pt>
                <c:pt idx="3">
                  <c:v>5.2878787770415796</c:v>
                </c:pt>
                <c:pt idx="4">
                  <c:v>6.2915625174646248</c:v>
                </c:pt>
                <c:pt idx="5">
                  <c:v>4.5406249602674507</c:v>
                </c:pt>
                <c:pt idx="6">
                  <c:v>5.657812474993988</c:v>
                </c:pt>
                <c:pt idx="7">
                  <c:v>5.8718749247491324</c:v>
                </c:pt>
                <c:pt idx="8">
                  <c:v>5.9503125439514415</c:v>
                </c:pt>
                <c:pt idx="9">
                  <c:v>6.030000067315993</c:v>
                </c:pt>
                <c:pt idx="10">
                  <c:v>5.3278124725911784</c:v>
                </c:pt>
                <c:pt idx="11">
                  <c:v>5.8412500396370906</c:v>
                </c:pt>
                <c:pt idx="12">
                  <c:v>5.4675000272691285</c:v>
                </c:pt>
                <c:pt idx="13">
                  <c:v>5.6328125181607911</c:v>
                </c:pt>
                <c:pt idx="14">
                  <c:v>5.5346875265240651</c:v>
                </c:pt>
                <c:pt idx="15">
                  <c:v>5.9153124988079089</c:v>
                </c:pt>
                <c:pt idx="16">
                  <c:v>5.3615625165402907</c:v>
                </c:pt>
                <c:pt idx="17">
                  <c:v>5.1812499882071306</c:v>
                </c:pt>
                <c:pt idx="18">
                  <c:v>6.1006451037622274</c:v>
                </c:pt>
                <c:pt idx="19">
                  <c:v>4.9749999940395355</c:v>
                </c:pt>
                <c:pt idx="20">
                  <c:v>4.9672413643064184</c:v>
                </c:pt>
                <c:pt idx="21">
                  <c:v>6.0944827448833614</c:v>
                </c:pt>
                <c:pt idx="22">
                  <c:v>4.9403447919878456</c:v>
                </c:pt>
                <c:pt idx="23">
                  <c:v>6.2165517437046933</c:v>
                </c:pt>
                <c:pt idx="24">
                  <c:v>5.4572413758342639</c:v>
                </c:pt>
                <c:pt idx="25">
                  <c:v>5.1244827714459618</c:v>
                </c:pt>
                <c:pt idx="26">
                  <c:v>5.1399999812797281</c:v>
                </c:pt>
                <c:pt idx="27">
                  <c:v>5.9629629585478066</c:v>
                </c:pt>
                <c:pt idx="28">
                  <c:v>5.6661537530330515</c:v>
                </c:pt>
                <c:pt idx="29">
                  <c:v>5.4945833086967468</c:v>
                </c:pt>
                <c:pt idx="30">
                  <c:v>2.4433333211179296</c:v>
                </c:pt>
              </c:numCache>
            </c:numRef>
          </c:val>
          <c:extLst>
            <c:ext xmlns:c16="http://schemas.microsoft.com/office/drawing/2014/chart" uri="{C3380CC4-5D6E-409C-BE32-E72D297353CC}">
              <c16:uniqueId val="{00000003-60ED-408F-ACDB-A07BF53FD24E}"/>
            </c:ext>
          </c:extLst>
        </c:ser>
        <c:dLbls>
          <c:showLegendKey val="0"/>
          <c:showVal val="0"/>
          <c:showCatName val="0"/>
          <c:showSerName val="0"/>
          <c:showPercent val="0"/>
          <c:showBubbleSize val="0"/>
        </c:dLbls>
        <c:gapWidth val="219"/>
        <c:axId val="727898767"/>
        <c:axId val="727896847"/>
      </c:barChart>
      <c:lineChart>
        <c:grouping val="standard"/>
        <c:varyColors val="0"/>
        <c:ser>
          <c:idx val="1"/>
          <c:order val="1"/>
          <c:tx>
            <c:strRef>
              <c:f>'Pivot Table 1'!$C$1</c:f>
              <c:strCache>
                <c:ptCount val="1"/>
                <c:pt idx="0">
                  <c:v>Average Calories</c:v>
                </c:pt>
              </c:strCache>
            </c:strRef>
          </c:tx>
          <c:spPr>
            <a:ln w="28575" cap="rnd">
              <a:solidFill>
                <a:schemeClr val="accent2"/>
              </a:solidFill>
              <a:round/>
            </a:ln>
            <a:effectLst/>
          </c:spPr>
          <c:marker>
            <c:symbol val="none"/>
          </c:marker>
          <c:cat>
            <c:strRef>
              <c:f>'Pivot Table 1'!$A$2:$A$32</c:f>
              <c:strCache>
                <c:ptCount val="31"/>
                <c:pt idx="0">
                  <c:v>12-04-2016</c:v>
                </c:pt>
                <c:pt idx="1">
                  <c:v>13-04-2016</c:v>
                </c:pt>
                <c:pt idx="2">
                  <c:v>14-04-2016</c:v>
                </c:pt>
                <c:pt idx="3">
                  <c:v>15-04-2016</c:v>
                </c:pt>
                <c:pt idx="4">
                  <c:v>16-04-2016</c:v>
                </c:pt>
                <c:pt idx="5">
                  <c:v>17-04-2016</c:v>
                </c:pt>
                <c:pt idx="6">
                  <c:v>18-04-2016</c:v>
                </c:pt>
                <c:pt idx="7">
                  <c:v>19-04-2016</c:v>
                </c:pt>
                <c:pt idx="8">
                  <c:v>20-04-2016</c:v>
                </c:pt>
                <c:pt idx="9">
                  <c:v>21-04-2016</c:v>
                </c:pt>
                <c:pt idx="10">
                  <c:v>22-04-2016</c:v>
                </c:pt>
                <c:pt idx="11">
                  <c:v>23-04-2016</c:v>
                </c:pt>
                <c:pt idx="12">
                  <c:v>24-04-2016</c:v>
                </c:pt>
                <c:pt idx="13">
                  <c:v>25-04-2016</c:v>
                </c:pt>
                <c:pt idx="14">
                  <c:v>26-04-2016</c:v>
                </c:pt>
                <c:pt idx="15">
                  <c:v>27-04-2016</c:v>
                </c:pt>
                <c:pt idx="16">
                  <c:v>28-04-2016</c:v>
                </c:pt>
                <c:pt idx="17">
                  <c:v>29-04-2016</c:v>
                </c:pt>
                <c:pt idx="18">
                  <c:v>30-04-2016</c:v>
                </c:pt>
                <c:pt idx="19">
                  <c:v>01-05-2016</c:v>
                </c:pt>
                <c:pt idx="20">
                  <c:v>02-05-2016</c:v>
                </c:pt>
                <c:pt idx="21">
                  <c:v>03-05-2016</c:v>
                </c:pt>
                <c:pt idx="22">
                  <c:v>04-05-2016</c:v>
                </c:pt>
                <c:pt idx="23">
                  <c:v>05-05-2016</c:v>
                </c:pt>
                <c:pt idx="24">
                  <c:v>06-05-2016</c:v>
                </c:pt>
                <c:pt idx="25">
                  <c:v>07-05-2016</c:v>
                </c:pt>
                <c:pt idx="26">
                  <c:v>08-05-2016</c:v>
                </c:pt>
                <c:pt idx="27">
                  <c:v>09-05-2016</c:v>
                </c:pt>
                <c:pt idx="28">
                  <c:v>10-05-2016</c:v>
                </c:pt>
                <c:pt idx="29">
                  <c:v>11-05-2016</c:v>
                </c:pt>
                <c:pt idx="30">
                  <c:v>12-05-2016</c:v>
                </c:pt>
              </c:strCache>
            </c:strRef>
          </c:cat>
          <c:val>
            <c:numRef>
              <c:f>'Pivot Table 1'!$C$2:$C$32</c:f>
              <c:numCache>
                <c:formatCode>General</c:formatCode>
                <c:ptCount val="31"/>
                <c:pt idx="0">
                  <c:v>2390.6969696969695</c:v>
                </c:pt>
                <c:pt idx="1">
                  <c:v>2286.6363636363635</c:v>
                </c:pt>
                <c:pt idx="2">
                  <c:v>2356.3939393939395</c:v>
                </c:pt>
                <c:pt idx="3">
                  <c:v>2355.181818181818</c:v>
                </c:pt>
                <c:pt idx="4">
                  <c:v>2392.9375</c:v>
                </c:pt>
                <c:pt idx="5">
                  <c:v>2230.96875</c:v>
                </c:pt>
                <c:pt idx="6">
                  <c:v>2333.375</c:v>
                </c:pt>
                <c:pt idx="7">
                  <c:v>2359.09375</c:v>
                </c:pt>
                <c:pt idx="8">
                  <c:v>2395.21875</c:v>
                </c:pt>
                <c:pt idx="9">
                  <c:v>2421.875</c:v>
                </c:pt>
                <c:pt idx="10">
                  <c:v>2327.65625</c:v>
                </c:pt>
                <c:pt idx="11">
                  <c:v>2397.15625</c:v>
                </c:pt>
                <c:pt idx="12">
                  <c:v>2291.4375</c:v>
                </c:pt>
                <c:pt idx="13">
                  <c:v>2349.5625</c:v>
                </c:pt>
                <c:pt idx="14">
                  <c:v>2331.375</c:v>
                </c:pt>
                <c:pt idx="15">
                  <c:v>2328.5625</c:v>
                </c:pt>
                <c:pt idx="16">
                  <c:v>2316.0625</c:v>
                </c:pt>
                <c:pt idx="17">
                  <c:v>2272.5625</c:v>
                </c:pt>
                <c:pt idx="18">
                  <c:v>2373.9354838709678</c:v>
                </c:pt>
                <c:pt idx="19">
                  <c:v>2230.4333333333334</c:v>
                </c:pt>
                <c:pt idx="20">
                  <c:v>2275.4482758620688</c:v>
                </c:pt>
                <c:pt idx="21">
                  <c:v>2453.8965517241381</c:v>
                </c:pt>
                <c:pt idx="22">
                  <c:v>2283.1379310344828</c:v>
                </c:pt>
                <c:pt idx="23">
                  <c:v>2415.0689655172414</c:v>
                </c:pt>
                <c:pt idx="24">
                  <c:v>2375.0689655172414</c:v>
                </c:pt>
                <c:pt idx="25">
                  <c:v>2246.2413793103447</c:v>
                </c:pt>
                <c:pt idx="26">
                  <c:v>2303.4444444444443</c:v>
                </c:pt>
                <c:pt idx="27">
                  <c:v>2335.6666666666665</c:v>
                </c:pt>
                <c:pt idx="28">
                  <c:v>2229.3461538461538</c:v>
                </c:pt>
                <c:pt idx="29">
                  <c:v>2190.0833333333335</c:v>
                </c:pt>
                <c:pt idx="30">
                  <c:v>1139.2857142857142</c:v>
                </c:pt>
              </c:numCache>
            </c:numRef>
          </c:val>
          <c:smooth val="0"/>
          <c:extLst>
            <c:ext xmlns:c16="http://schemas.microsoft.com/office/drawing/2014/chart" uri="{C3380CC4-5D6E-409C-BE32-E72D297353CC}">
              <c16:uniqueId val="{00000004-60ED-408F-ACDB-A07BF53FD24E}"/>
            </c:ext>
          </c:extLst>
        </c:ser>
        <c:dLbls>
          <c:showLegendKey val="0"/>
          <c:showVal val="0"/>
          <c:showCatName val="0"/>
          <c:showSerName val="0"/>
          <c:showPercent val="0"/>
          <c:showBubbleSize val="0"/>
        </c:dLbls>
        <c:marker val="1"/>
        <c:smooth val="0"/>
        <c:axId val="693059599"/>
        <c:axId val="693049999"/>
      </c:lineChart>
      <c:catAx>
        <c:axId val="69305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049999"/>
        <c:crosses val="autoZero"/>
        <c:auto val="1"/>
        <c:lblAlgn val="ctr"/>
        <c:lblOffset val="100"/>
        <c:noMultiLvlLbl val="0"/>
      </c:catAx>
      <c:valAx>
        <c:axId val="69304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059599"/>
        <c:crosses val="autoZero"/>
        <c:crossBetween val="between"/>
      </c:valAx>
      <c:valAx>
        <c:axId val="7278968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898767"/>
        <c:crosses val="max"/>
        <c:crossBetween val="between"/>
      </c:valAx>
      <c:catAx>
        <c:axId val="727898767"/>
        <c:scaling>
          <c:orientation val="minMax"/>
        </c:scaling>
        <c:delete val="1"/>
        <c:axPos val="b"/>
        <c:numFmt formatCode="General" sourceLinked="1"/>
        <c:majorTickMark val="out"/>
        <c:minorTickMark val="none"/>
        <c:tickLblPos val="nextTo"/>
        <c:crossAx val="7278968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Final Analysis &amp; Dashboard.xlsx]Pivot Table 1!PivotTable2</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1'!$F$1</c:f>
              <c:strCache>
                <c:ptCount val="1"/>
                <c:pt idx="0">
                  <c:v>Average Distance</c:v>
                </c:pt>
              </c:strCache>
            </c:strRef>
          </c:tx>
          <c:spPr>
            <a:solidFill>
              <a:schemeClr val="accent1"/>
            </a:solidFill>
            <a:ln>
              <a:noFill/>
            </a:ln>
            <a:effectLst/>
          </c:spPr>
          <c:invertIfNegative val="0"/>
          <c:cat>
            <c:strRef>
              <c:f>'Pivot Table 1'!$E$2:$E$8</c:f>
              <c:strCache>
                <c:ptCount val="7"/>
                <c:pt idx="0">
                  <c:v>Monday</c:v>
                </c:pt>
                <c:pt idx="1">
                  <c:v>Tuesday</c:v>
                </c:pt>
                <c:pt idx="2">
                  <c:v>Wednesday</c:v>
                </c:pt>
                <c:pt idx="3">
                  <c:v>Thursday</c:v>
                </c:pt>
                <c:pt idx="4">
                  <c:v>Friday</c:v>
                </c:pt>
                <c:pt idx="5">
                  <c:v>Saturday</c:v>
                </c:pt>
                <c:pt idx="6">
                  <c:v>Sunday</c:v>
                </c:pt>
              </c:strCache>
            </c:strRef>
          </c:cat>
          <c:val>
            <c:numRef>
              <c:f>'Pivot Table 1'!$F$2:$F$8</c:f>
              <c:numCache>
                <c:formatCode>General</c:formatCode>
                <c:ptCount val="7"/>
                <c:pt idx="0">
                  <c:v>5.5529166602219151</c:v>
                </c:pt>
                <c:pt idx="1">
                  <c:v>5.832236808050717</c:v>
                </c:pt>
                <c:pt idx="2">
                  <c:v>5.4883333278323212</c:v>
                </c:pt>
                <c:pt idx="3">
                  <c:v>5.3122449235065652</c:v>
                </c:pt>
                <c:pt idx="4">
                  <c:v>5.309920621326282</c:v>
                </c:pt>
                <c:pt idx="5">
                  <c:v>5.8546774227082024</c:v>
                </c:pt>
                <c:pt idx="6">
                  <c:v>5.0271900736934647</c:v>
                </c:pt>
              </c:numCache>
            </c:numRef>
          </c:val>
          <c:extLst>
            <c:ext xmlns:c16="http://schemas.microsoft.com/office/drawing/2014/chart" uri="{C3380CC4-5D6E-409C-BE32-E72D297353CC}">
              <c16:uniqueId val="{00000000-C123-4EF9-9928-BE504E963318}"/>
            </c:ext>
          </c:extLst>
        </c:ser>
        <c:dLbls>
          <c:showLegendKey val="0"/>
          <c:showVal val="0"/>
          <c:showCatName val="0"/>
          <c:showSerName val="0"/>
          <c:showPercent val="0"/>
          <c:showBubbleSize val="0"/>
        </c:dLbls>
        <c:gapWidth val="219"/>
        <c:overlap val="-27"/>
        <c:axId val="691038975"/>
        <c:axId val="693066799"/>
      </c:barChart>
      <c:lineChart>
        <c:grouping val="standard"/>
        <c:varyColors val="0"/>
        <c:ser>
          <c:idx val="1"/>
          <c:order val="1"/>
          <c:tx>
            <c:strRef>
              <c:f>'Pivot Table 1'!$G$1</c:f>
              <c:strCache>
                <c:ptCount val="1"/>
                <c:pt idx="0">
                  <c:v>Average Calories</c:v>
                </c:pt>
              </c:strCache>
            </c:strRef>
          </c:tx>
          <c:spPr>
            <a:ln w="28575" cap="rnd">
              <a:solidFill>
                <a:schemeClr val="accent2"/>
              </a:solidFill>
              <a:round/>
            </a:ln>
            <a:effectLst/>
          </c:spPr>
          <c:marker>
            <c:symbol val="none"/>
          </c:marker>
          <c:cat>
            <c:strRef>
              <c:f>'Pivot Table 1'!$E$2:$E$8</c:f>
              <c:strCache>
                <c:ptCount val="7"/>
                <c:pt idx="0">
                  <c:v>Monday</c:v>
                </c:pt>
                <c:pt idx="1">
                  <c:v>Tuesday</c:v>
                </c:pt>
                <c:pt idx="2">
                  <c:v>Wednesday</c:v>
                </c:pt>
                <c:pt idx="3">
                  <c:v>Thursday</c:v>
                </c:pt>
                <c:pt idx="4">
                  <c:v>Friday</c:v>
                </c:pt>
                <c:pt idx="5">
                  <c:v>Saturday</c:v>
                </c:pt>
                <c:pt idx="6">
                  <c:v>Sunday</c:v>
                </c:pt>
              </c:strCache>
            </c:strRef>
          </c:cat>
          <c:val>
            <c:numRef>
              <c:f>'Pivot Table 1'!$G$2:$G$8</c:f>
              <c:numCache>
                <c:formatCode>General</c:formatCode>
                <c:ptCount val="7"/>
                <c:pt idx="0">
                  <c:v>2324.2083333333335</c:v>
                </c:pt>
                <c:pt idx="1">
                  <c:v>2356.0131578947367</c:v>
                </c:pt>
                <c:pt idx="2">
                  <c:v>2302.62</c:v>
                </c:pt>
                <c:pt idx="3">
                  <c:v>2199.5714285714284</c:v>
                </c:pt>
                <c:pt idx="4">
                  <c:v>2331.7857142857142</c:v>
                </c:pt>
                <c:pt idx="5">
                  <c:v>2354.9677419354839</c:v>
                </c:pt>
                <c:pt idx="6">
                  <c:v>2263</c:v>
                </c:pt>
              </c:numCache>
            </c:numRef>
          </c:val>
          <c:smooth val="0"/>
          <c:extLst>
            <c:ext xmlns:c16="http://schemas.microsoft.com/office/drawing/2014/chart" uri="{C3380CC4-5D6E-409C-BE32-E72D297353CC}">
              <c16:uniqueId val="{00000001-C123-4EF9-9928-BE504E963318}"/>
            </c:ext>
          </c:extLst>
        </c:ser>
        <c:dLbls>
          <c:showLegendKey val="0"/>
          <c:showVal val="0"/>
          <c:showCatName val="0"/>
          <c:showSerName val="0"/>
          <c:showPercent val="0"/>
          <c:showBubbleSize val="0"/>
        </c:dLbls>
        <c:marker val="1"/>
        <c:smooth val="0"/>
        <c:axId val="693044719"/>
        <c:axId val="693047599"/>
      </c:lineChart>
      <c:catAx>
        <c:axId val="69304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047599"/>
        <c:crosses val="autoZero"/>
        <c:auto val="1"/>
        <c:lblAlgn val="ctr"/>
        <c:lblOffset val="100"/>
        <c:noMultiLvlLbl val="0"/>
      </c:catAx>
      <c:valAx>
        <c:axId val="69304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044719"/>
        <c:crosses val="autoZero"/>
        <c:crossBetween val="between"/>
      </c:valAx>
      <c:valAx>
        <c:axId val="6930667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38975"/>
        <c:crosses val="max"/>
        <c:crossBetween val="between"/>
      </c:valAx>
      <c:catAx>
        <c:axId val="691038975"/>
        <c:scaling>
          <c:orientation val="minMax"/>
        </c:scaling>
        <c:delete val="1"/>
        <c:axPos val="b"/>
        <c:numFmt formatCode="General" sourceLinked="1"/>
        <c:majorTickMark val="out"/>
        <c:minorTickMark val="none"/>
        <c:tickLblPos val="nextTo"/>
        <c:crossAx val="6930667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Final Analysis &amp; Dashboard.xlsx]Pivot Table 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2'!$B$1</c:f>
              <c:strCache>
                <c:ptCount val="1"/>
                <c:pt idx="0">
                  <c:v>Total</c:v>
                </c:pt>
              </c:strCache>
            </c:strRef>
          </c:tx>
          <c:spPr>
            <a:solidFill>
              <a:schemeClr val="accent1"/>
            </a:solidFill>
            <a:ln>
              <a:noFill/>
            </a:ln>
            <a:effectLst/>
          </c:spPr>
          <c:invertIfNegative val="0"/>
          <c:cat>
            <c:strRef>
              <c:f>'Pivot Table 2'!$A$2:$A$4</c:f>
              <c:strCache>
                <c:ptCount val="3"/>
                <c:pt idx="0">
                  <c:v>Active</c:v>
                </c:pt>
                <c:pt idx="1">
                  <c:v>Light</c:v>
                </c:pt>
                <c:pt idx="2">
                  <c:v>Moderate</c:v>
                </c:pt>
              </c:strCache>
            </c:strRef>
          </c:cat>
          <c:val>
            <c:numRef>
              <c:f>'Pivot Table 2'!$B$2:$B$4</c:f>
              <c:numCache>
                <c:formatCode>General</c:formatCode>
                <c:ptCount val="3"/>
                <c:pt idx="0">
                  <c:v>29</c:v>
                </c:pt>
                <c:pt idx="1">
                  <c:v>1</c:v>
                </c:pt>
                <c:pt idx="2">
                  <c:v>3</c:v>
                </c:pt>
              </c:numCache>
            </c:numRef>
          </c:val>
          <c:extLst>
            <c:ext xmlns:c16="http://schemas.microsoft.com/office/drawing/2014/chart" uri="{C3380CC4-5D6E-409C-BE32-E72D297353CC}">
              <c16:uniqueId val="{00000000-168A-480B-8C28-EB02A9133CAA}"/>
            </c:ext>
          </c:extLst>
        </c:ser>
        <c:dLbls>
          <c:showLegendKey val="0"/>
          <c:showVal val="0"/>
          <c:showCatName val="0"/>
          <c:showSerName val="0"/>
          <c:showPercent val="0"/>
          <c:showBubbleSize val="0"/>
        </c:dLbls>
        <c:gapWidth val="219"/>
        <c:axId val="551727439"/>
        <c:axId val="551723599"/>
      </c:barChart>
      <c:catAx>
        <c:axId val="55172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23599"/>
        <c:crosses val="autoZero"/>
        <c:auto val="1"/>
        <c:lblAlgn val="ctr"/>
        <c:lblOffset val="100"/>
        <c:noMultiLvlLbl val="0"/>
      </c:catAx>
      <c:valAx>
        <c:axId val="55172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2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Final Analysis &amp; Dashboard.xlsx]Pivot Table 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2'!$E$1</c:f>
              <c:strCache>
                <c:ptCount val="1"/>
                <c:pt idx="0">
                  <c:v>Total</c:v>
                </c:pt>
              </c:strCache>
            </c:strRef>
          </c:tx>
          <c:spPr>
            <a:solidFill>
              <a:schemeClr val="accent1"/>
            </a:solidFill>
            <a:ln>
              <a:noFill/>
            </a:ln>
            <a:effectLst/>
          </c:spPr>
          <c:invertIfNegative val="0"/>
          <c:cat>
            <c:strRef>
              <c:f>'Pivot Table 2'!$D$2:$D$4</c:f>
              <c:strCache>
                <c:ptCount val="3"/>
                <c:pt idx="0">
                  <c:v>Beginner</c:v>
                </c:pt>
                <c:pt idx="1">
                  <c:v>Intermediate</c:v>
                </c:pt>
                <c:pt idx="2">
                  <c:v>Pro</c:v>
                </c:pt>
              </c:strCache>
            </c:strRef>
          </c:cat>
          <c:val>
            <c:numRef>
              <c:f>'Pivot Table 2'!$E$2:$E$4</c:f>
              <c:numCache>
                <c:formatCode>General</c:formatCode>
                <c:ptCount val="3"/>
                <c:pt idx="0">
                  <c:v>14</c:v>
                </c:pt>
                <c:pt idx="1">
                  <c:v>17</c:v>
                </c:pt>
                <c:pt idx="2">
                  <c:v>2</c:v>
                </c:pt>
              </c:numCache>
            </c:numRef>
          </c:val>
          <c:extLst>
            <c:ext xmlns:c16="http://schemas.microsoft.com/office/drawing/2014/chart" uri="{C3380CC4-5D6E-409C-BE32-E72D297353CC}">
              <c16:uniqueId val="{00000000-CAEB-47D1-8BF0-E8B294F2EA74}"/>
            </c:ext>
          </c:extLst>
        </c:ser>
        <c:dLbls>
          <c:showLegendKey val="0"/>
          <c:showVal val="0"/>
          <c:showCatName val="0"/>
          <c:showSerName val="0"/>
          <c:showPercent val="0"/>
          <c:showBubbleSize val="0"/>
        </c:dLbls>
        <c:gapWidth val="219"/>
        <c:overlap val="-27"/>
        <c:axId val="551717839"/>
        <c:axId val="551742799"/>
      </c:barChart>
      <c:catAx>
        <c:axId val="55171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42799"/>
        <c:crosses val="autoZero"/>
        <c:auto val="1"/>
        <c:lblAlgn val="ctr"/>
        <c:lblOffset val="100"/>
        <c:noMultiLvlLbl val="0"/>
      </c:catAx>
      <c:valAx>
        <c:axId val="55174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17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Final Analysis &amp; Dashboard.xlsx]Pivot Table 2!PivotTable5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2'!$H$1</c:f>
              <c:strCache>
                <c:ptCount val="1"/>
                <c:pt idx="0">
                  <c:v>Average of Daily Steps</c:v>
                </c:pt>
              </c:strCache>
            </c:strRef>
          </c:tx>
          <c:spPr>
            <a:solidFill>
              <a:schemeClr val="accent1"/>
            </a:solidFill>
            <a:ln>
              <a:noFill/>
            </a:ln>
            <a:effectLst/>
          </c:spPr>
          <c:invertIfNegative val="0"/>
          <c:cat>
            <c:strRef>
              <c:f>'Pivot Table 2'!$G$2:$G$6</c:f>
              <c:strCache>
                <c:ptCount val="5"/>
                <c:pt idx="0">
                  <c:v>7007744171</c:v>
                </c:pt>
                <c:pt idx="1">
                  <c:v>2022484408</c:v>
                </c:pt>
                <c:pt idx="2">
                  <c:v>1503960366</c:v>
                </c:pt>
                <c:pt idx="3">
                  <c:v>8053475328</c:v>
                </c:pt>
                <c:pt idx="4">
                  <c:v>8877689391</c:v>
                </c:pt>
              </c:strCache>
            </c:strRef>
          </c:cat>
          <c:val>
            <c:numRef>
              <c:f>'Pivot Table 2'!$H$2:$H$6</c:f>
              <c:numCache>
                <c:formatCode>0.00</c:formatCode>
                <c:ptCount val="5"/>
                <c:pt idx="0">
                  <c:v>11323.423076923076</c:v>
                </c:pt>
                <c:pt idx="1">
                  <c:v>11370.645161290322</c:v>
                </c:pt>
                <c:pt idx="2">
                  <c:v>12116.741935483871</c:v>
                </c:pt>
                <c:pt idx="3">
                  <c:v>14763.290322580646</c:v>
                </c:pt>
                <c:pt idx="4">
                  <c:v>16040.032258064517</c:v>
                </c:pt>
              </c:numCache>
            </c:numRef>
          </c:val>
          <c:extLst>
            <c:ext xmlns:c16="http://schemas.microsoft.com/office/drawing/2014/chart" uri="{C3380CC4-5D6E-409C-BE32-E72D297353CC}">
              <c16:uniqueId val="{00000000-E969-43D1-90FB-5A3D19738636}"/>
            </c:ext>
          </c:extLst>
        </c:ser>
        <c:ser>
          <c:idx val="1"/>
          <c:order val="1"/>
          <c:tx>
            <c:strRef>
              <c:f>'Pivot Table 2'!$I$1</c:f>
              <c:strCache>
                <c:ptCount val="1"/>
                <c:pt idx="0">
                  <c:v>Average of Daily Calories</c:v>
                </c:pt>
              </c:strCache>
            </c:strRef>
          </c:tx>
          <c:spPr>
            <a:solidFill>
              <a:schemeClr val="accent2"/>
            </a:solidFill>
            <a:ln>
              <a:noFill/>
            </a:ln>
            <a:effectLst/>
          </c:spPr>
          <c:invertIfNegative val="0"/>
          <c:cat>
            <c:strRef>
              <c:f>'Pivot Table 2'!$G$2:$G$6</c:f>
              <c:strCache>
                <c:ptCount val="5"/>
                <c:pt idx="0">
                  <c:v>7007744171</c:v>
                </c:pt>
                <c:pt idx="1">
                  <c:v>2022484408</c:v>
                </c:pt>
                <c:pt idx="2">
                  <c:v>1503960366</c:v>
                </c:pt>
                <c:pt idx="3">
                  <c:v>8053475328</c:v>
                </c:pt>
                <c:pt idx="4">
                  <c:v>8877689391</c:v>
                </c:pt>
              </c:strCache>
            </c:strRef>
          </c:cat>
          <c:val>
            <c:numRef>
              <c:f>'Pivot Table 2'!$I$2:$I$6</c:f>
              <c:numCache>
                <c:formatCode>0.00</c:formatCode>
                <c:ptCount val="5"/>
                <c:pt idx="0">
                  <c:v>2544</c:v>
                </c:pt>
                <c:pt idx="1">
                  <c:v>2509.9677419354839</c:v>
                </c:pt>
                <c:pt idx="2">
                  <c:v>1816.4193548387098</c:v>
                </c:pt>
                <c:pt idx="3">
                  <c:v>2945.8064516129034</c:v>
                </c:pt>
                <c:pt idx="4">
                  <c:v>3420.2580645161293</c:v>
                </c:pt>
              </c:numCache>
            </c:numRef>
          </c:val>
          <c:extLst>
            <c:ext xmlns:c16="http://schemas.microsoft.com/office/drawing/2014/chart" uri="{C3380CC4-5D6E-409C-BE32-E72D297353CC}">
              <c16:uniqueId val="{00000001-E969-43D1-90FB-5A3D19738636}"/>
            </c:ext>
          </c:extLst>
        </c:ser>
        <c:dLbls>
          <c:showLegendKey val="0"/>
          <c:showVal val="0"/>
          <c:showCatName val="0"/>
          <c:showSerName val="0"/>
          <c:showPercent val="0"/>
          <c:showBubbleSize val="0"/>
        </c:dLbls>
        <c:gapWidth val="182"/>
        <c:axId val="551740879"/>
        <c:axId val="551743279"/>
      </c:barChart>
      <c:catAx>
        <c:axId val="55174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43279"/>
        <c:crosses val="autoZero"/>
        <c:auto val="1"/>
        <c:lblAlgn val="ctr"/>
        <c:lblOffset val="100"/>
        <c:noMultiLvlLbl val="0"/>
      </c:catAx>
      <c:valAx>
        <c:axId val="5517432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4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99060</xdr:colOff>
      <xdr:row>0</xdr:row>
      <xdr:rowOff>83820</xdr:rowOff>
    </xdr:from>
    <xdr:to>
      <xdr:col>4</xdr:col>
      <xdr:colOff>38400</xdr:colOff>
      <xdr:row>2</xdr:row>
      <xdr:rowOff>152400</xdr:rowOff>
    </xdr:to>
    <xdr:sp macro="" textlink="">
      <xdr:nvSpPr>
        <xdr:cNvPr id="3" name="Rectangle: Rounded Corners 2">
          <a:extLst>
            <a:ext uri="{FF2B5EF4-FFF2-40B4-BE49-F238E27FC236}">
              <a16:creationId xmlns:a16="http://schemas.microsoft.com/office/drawing/2014/main" id="{BAF32636-3A0E-3F2B-25A1-14D6F67E9DE7}"/>
            </a:ext>
          </a:extLst>
        </xdr:cNvPr>
        <xdr:cNvSpPr/>
      </xdr:nvSpPr>
      <xdr:spPr>
        <a:xfrm>
          <a:off x="99060" y="83820"/>
          <a:ext cx="2377740" cy="434340"/>
        </a:xfrm>
        <a:prstGeom prst="roundRect">
          <a:avLst/>
        </a:prstGeom>
        <a:solidFill>
          <a:schemeClr val="accent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lumMod val="95000"/>
                </a:schemeClr>
              </a:solidFill>
            </a:rPr>
            <a:t>WeFit Dashboard</a:t>
          </a:r>
        </a:p>
        <a:p>
          <a:pPr algn="l"/>
          <a:endParaRPr lang="en-US" sz="1100"/>
        </a:p>
      </xdr:txBody>
    </xdr:sp>
    <xdr:clientData/>
  </xdr:twoCellAnchor>
  <xdr:twoCellAnchor>
    <xdr:from>
      <xdr:col>4</xdr:col>
      <xdr:colOff>106680</xdr:colOff>
      <xdr:row>0</xdr:row>
      <xdr:rowOff>76200</xdr:rowOff>
    </xdr:from>
    <xdr:to>
      <xdr:col>13</xdr:col>
      <xdr:colOff>228600</xdr:colOff>
      <xdr:row>14</xdr:row>
      <xdr:rowOff>68580</xdr:rowOff>
    </xdr:to>
    <xdr:graphicFrame macro="">
      <xdr:nvGraphicFramePr>
        <xdr:cNvPr id="4" name="Chart 3">
          <a:extLst>
            <a:ext uri="{FF2B5EF4-FFF2-40B4-BE49-F238E27FC236}">
              <a16:creationId xmlns:a16="http://schemas.microsoft.com/office/drawing/2014/main" id="{01E2554C-A9D8-4566-8BB3-1469A3FE9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350520</xdr:colOff>
      <xdr:row>0</xdr:row>
      <xdr:rowOff>76200</xdr:rowOff>
    </xdr:from>
    <xdr:to>
      <xdr:col>23</xdr:col>
      <xdr:colOff>325064</xdr:colOff>
      <xdr:row>14</xdr:row>
      <xdr:rowOff>68580</xdr:rowOff>
    </xdr:to>
    <xdr:graphicFrame macro="">
      <xdr:nvGraphicFramePr>
        <xdr:cNvPr id="5" name="Chart 4">
          <a:extLst>
            <a:ext uri="{FF2B5EF4-FFF2-40B4-BE49-F238E27FC236}">
              <a16:creationId xmlns:a16="http://schemas.microsoft.com/office/drawing/2014/main" id="{43FB95DC-B2D5-454B-BC11-74310419E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144780</xdr:colOff>
      <xdr:row>14</xdr:row>
      <xdr:rowOff>160020</xdr:rowOff>
    </xdr:from>
    <xdr:to>
      <xdr:col>23</xdr:col>
      <xdr:colOff>335280</xdr:colOff>
      <xdr:row>30</xdr:row>
      <xdr:rowOff>114300</xdr:rowOff>
    </xdr:to>
    <xdr:graphicFrame macro="">
      <xdr:nvGraphicFramePr>
        <xdr:cNvPr id="6" name="Chart 5">
          <a:extLst>
            <a:ext uri="{FF2B5EF4-FFF2-40B4-BE49-F238E27FC236}">
              <a16:creationId xmlns:a16="http://schemas.microsoft.com/office/drawing/2014/main" id="{86420322-D126-40F2-9DE8-3AA5804EE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403860</xdr:colOff>
      <xdr:row>14</xdr:row>
      <xdr:rowOff>160020</xdr:rowOff>
    </xdr:from>
    <xdr:to>
      <xdr:col>16</xdr:col>
      <xdr:colOff>579120</xdr:colOff>
      <xdr:row>30</xdr:row>
      <xdr:rowOff>114300</xdr:rowOff>
    </xdr:to>
    <xdr:graphicFrame macro="">
      <xdr:nvGraphicFramePr>
        <xdr:cNvPr id="7" name="Chart 6">
          <a:extLst>
            <a:ext uri="{FF2B5EF4-FFF2-40B4-BE49-F238E27FC236}">
              <a16:creationId xmlns:a16="http://schemas.microsoft.com/office/drawing/2014/main" id="{B2716E1B-1624-48AC-83F9-70954EDD9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91440</xdr:colOff>
      <xdr:row>14</xdr:row>
      <xdr:rowOff>137160</xdr:rowOff>
    </xdr:from>
    <xdr:to>
      <xdr:col>10</xdr:col>
      <xdr:colOff>220980</xdr:colOff>
      <xdr:row>30</xdr:row>
      <xdr:rowOff>91440</xdr:rowOff>
    </xdr:to>
    <xdr:graphicFrame macro="">
      <xdr:nvGraphicFramePr>
        <xdr:cNvPr id="8" name="Chart 7">
          <a:extLst>
            <a:ext uri="{FF2B5EF4-FFF2-40B4-BE49-F238E27FC236}">
              <a16:creationId xmlns:a16="http://schemas.microsoft.com/office/drawing/2014/main" id="{44A3BB34-08BF-4CAE-AF56-6DB01010A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99060</xdr:colOff>
      <xdr:row>3</xdr:row>
      <xdr:rowOff>45720</xdr:rowOff>
    </xdr:from>
    <xdr:to>
      <xdr:col>4</xdr:col>
      <xdr:colOff>7620</xdr:colOff>
      <xdr:row>14</xdr:row>
      <xdr:rowOff>30480</xdr:rowOff>
    </xdr:to>
    <mc:AlternateContent xmlns:mc="http://schemas.openxmlformats.org/markup-compatibility/2006" xmlns:a14="http://schemas.microsoft.com/office/drawing/2010/main">
      <mc:Choice Requires="a14">
        <xdr:graphicFrame macro="">
          <xdr:nvGraphicFramePr>
            <xdr:cNvPr id="9" name="Customer Id 1">
              <a:extLst>
                <a:ext uri="{FF2B5EF4-FFF2-40B4-BE49-F238E27FC236}">
                  <a16:creationId xmlns:a16="http://schemas.microsoft.com/office/drawing/2014/main" id="{55FDBFE6-57B6-4A67-A0FA-3A6A303709FF}"/>
                </a:ext>
              </a:extLst>
            </xdr:cNvPr>
            <xdr:cNvGraphicFramePr/>
          </xdr:nvGraphicFramePr>
          <xdr:xfrm>
            <a:off x="0" y="0"/>
            <a:ext cx="0" cy="0"/>
          </xdr:xfrm>
          <a:graphic>
            <a:graphicData uri="http://schemas.microsoft.com/office/drawing/2010/slicer">
              <sle:slicer xmlns:sle="http://schemas.microsoft.com/office/drawing/2010/slicer" name="Customer Id 1"/>
            </a:graphicData>
          </a:graphic>
        </xdr:graphicFrame>
      </mc:Choice>
      <mc:Fallback xmlns="">
        <xdr:sp macro="" textlink="">
          <xdr:nvSpPr>
            <xdr:cNvPr id="0" name=""/>
            <xdr:cNvSpPr>
              <a:spLocks noTextEdit="1"/>
            </xdr:cNvSpPr>
          </xdr:nvSpPr>
          <xdr:spPr>
            <a:xfrm>
              <a:off x="99060" y="594360"/>
              <a:ext cx="2346960" cy="1996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91440</xdr:colOff>
      <xdr:row>23</xdr:row>
      <xdr:rowOff>57150</xdr:rowOff>
    </xdr:from>
    <xdr:to>
      <xdr:col>7</xdr:col>
      <xdr:colOff>327660</xdr:colOff>
      <xdr:row>38</xdr:row>
      <xdr:rowOff>57150</xdr:rowOff>
    </xdr:to>
    <xdr:graphicFrame macro="">
      <xdr:nvGraphicFramePr>
        <xdr:cNvPr id="4" name="Chart 3">
          <a:extLst>
            <a:ext uri="{FF2B5EF4-FFF2-40B4-BE49-F238E27FC236}">
              <a16:creationId xmlns:a16="http://schemas.microsoft.com/office/drawing/2014/main" id="{BB54A000-54C2-AA6B-4FC6-322A3DED0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91440</xdr:colOff>
      <xdr:row>8</xdr:row>
      <xdr:rowOff>49530</xdr:rowOff>
    </xdr:from>
    <xdr:to>
      <xdr:col>7</xdr:col>
      <xdr:colOff>327660</xdr:colOff>
      <xdr:row>23</xdr:row>
      <xdr:rowOff>49530</xdr:rowOff>
    </xdr:to>
    <xdr:graphicFrame macro="">
      <xdr:nvGraphicFramePr>
        <xdr:cNvPr id="5" name="Chart 4">
          <a:extLst>
            <a:ext uri="{FF2B5EF4-FFF2-40B4-BE49-F238E27FC236}">
              <a16:creationId xmlns:a16="http://schemas.microsoft.com/office/drawing/2014/main" id="{3CB1471F-00EF-CBD4-9BE7-1246EE8A5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411480</xdr:colOff>
      <xdr:row>0</xdr:row>
      <xdr:rowOff>38100</xdr:rowOff>
    </xdr:from>
    <xdr:to>
      <xdr:col>10</xdr:col>
      <xdr:colOff>411480</xdr:colOff>
      <xdr:row>13</xdr:row>
      <xdr:rowOff>127635</xdr:rowOff>
    </xdr:to>
    <mc:AlternateContent xmlns:mc="http://schemas.openxmlformats.org/markup-compatibility/2006" xmlns:a14="http://schemas.microsoft.com/office/drawing/2010/main">
      <mc:Choice Requires="a14">
        <xdr:graphicFrame macro="">
          <xdr:nvGraphicFramePr>
            <xdr:cNvPr id="6" name="Customer Id">
              <a:extLst>
                <a:ext uri="{FF2B5EF4-FFF2-40B4-BE49-F238E27FC236}">
                  <a16:creationId xmlns:a16="http://schemas.microsoft.com/office/drawing/2014/main" id="{61A21BAF-66F1-AF97-562A-0B7C0A7A5ECE}"/>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mlns="">
        <xdr:sp macro="" textlink="">
          <xdr:nvSpPr>
            <xdr:cNvPr id="0" name=""/>
            <xdr:cNvSpPr>
              <a:spLocks noTextEdit="1"/>
            </xdr:cNvSpPr>
          </xdr:nvSpPr>
          <xdr:spPr>
            <a:xfrm>
              <a:off x="7566660" y="38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106680</xdr:colOff>
      <xdr:row>7</xdr:row>
      <xdr:rowOff>41910</xdr:rowOff>
    </xdr:from>
    <xdr:to>
      <xdr:col>4</xdr:col>
      <xdr:colOff>91440</xdr:colOff>
      <xdr:row>22</xdr:row>
      <xdr:rowOff>41910</xdr:rowOff>
    </xdr:to>
    <xdr:graphicFrame macro="">
      <xdr:nvGraphicFramePr>
        <xdr:cNvPr id="2" name="Chart 1">
          <a:extLst>
            <a:ext uri="{FF2B5EF4-FFF2-40B4-BE49-F238E27FC236}">
              <a16:creationId xmlns:a16="http://schemas.microsoft.com/office/drawing/2014/main" id="{C7C9E8E0-CFEB-C165-DE93-D471425F7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396240</xdr:colOff>
      <xdr:row>7</xdr:row>
      <xdr:rowOff>49530</xdr:rowOff>
    </xdr:from>
    <xdr:to>
      <xdr:col>7</xdr:col>
      <xdr:colOff>1546860</xdr:colOff>
      <xdr:row>22</xdr:row>
      <xdr:rowOff>49530</xdr:rowOff>
    </xdr:to>
    <xdr:graphicFrame macro="">
      <xdr:nvGraphicFramePr>
        <xdr:cNvPr id="3" name="Chart 2">
          <a:extLst>
            <a:ext uri="{FF2B5EF4-FFF2-40B4-BE49-F238E27FC236}">
              <a16:creationId xmlns:a16="http://schemas.microsoft.com/office/drawing/2014/main" id="{9FF27A66-474B-06FF-E852-B2F8A2025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114300</xdr:colOff>
      <xdr:row>7</xdr:row>
      <xdr:rowOff>19050</xdr:rowOff>
    </xdr:from>
    <xdr:to>
      <xdr:col>11</xdr:col>
      <xdr:colOff>586740</xdr:colOff>
      <xdr:row>22</xdr:row>
      <xdr:rowOff>19050</xdr:rowOff>
    </xdr:to>
    <xdr:graphicFrame macro="">
      <xdr:nvGraphicFramePr>
        <xdr:cNvPr id="4" name="Chart 3">
          <a:extLst>
            <a:ext uri="{FF2B5EF4-FFF2-40B4-BE49-F238E27FC236}">
              <a16:creationId xmlns:a16="http://schemas.microsoft.com/office/drawing/2014/main" id="{7C854FCF-3365-C26D-6378-C083F93B6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424.845529282407" createdVersion="8" refreshedVersion="8" minRefreshableVersion="3" recordCount="940" xr:uid="{283FC963-235D-4E95-AD1B-89F2193EC259}">
  <cacheSource type="worksheet">
    <worksheetSource ref="A1:J941" sheet="Daily Activity Cleaned"/>
  </cacheSource>
  <cacheFields count="12">
    <cacheField name="Id" numFmtId="0">
      <sharedItems containsSemiMixedTypes="0" containsString="0" containsNumber="1" containsInteger="1" minValue="1503960366" maxValue="8877689391" count="33">
        <n v="1503960366"/>
        <n v="1624580081"/>
        <n v="1644430081"/>
        <n v="1844505072"/>
        <n v="1927972279"/>
        <n v="2022484408"/>
        <n v="2026352035"/>
        <n v="2320127002"/>
        <n v="2347167796"/>
        <n v="2873212765"/>
        <n v="3372868164"/>
        <n v="3977333714"/>
        <n v="4020332650"/>
        <n v="4057192912"/>
        <n v="4319703577"/>
        <n v="4388161847"/>
        <n v="4445114986"/>
        <n v="4558609924"/>
        <n v="4702921684"/>
        <n v="5553957443"/>
        <n v="5577150313"/>
        <n v="6117666160"/>
        <n v="6290855005"/>
        <n v="6775888955"/>
        <n v="6962181067"/>
        <n v="7007744171"/>
        <n v="7086361926"/>
        <n v="8053475328"/>
        <n v="8253242879"/>
        <n v="8378563200"/>
        <n v="8583815059"/>
        <n v="8792009665"/>
        <n v="8877689391"/>
      </sharedItems>
    </cacheField>
    <cacheField name="ActivityDate" numFmtId="14">
      <sharedItems containsSemiMixedTypes="0" containsNonDate="0" containsDate="1" containsString="0" minDate="2016-04-12T00:00:00" maxDate="2016-05-13T00:00:00" count="31">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sharedItems>
      <fieldGroup par="11"/>
    </cacheField>
    <cacheField name="Day Name" numFmtId="0">
      <sharedItems count="7">
        <s v="Tuesday"/>
        <s v="Wednesday"/>
        <s v="Thursday"/>
        <s v="Friday"/>
        <s v="Saturday"/>
        <s v="Sunday"/>
        <s v="Monday"/>
      </sharedItems>
    </cacheField>
    <cacheField name="Day of Week" numFmtId="0">
      <sharedItems containsSemiMixedTypes="0" containsString="0" containsNumber="1" containsInteger="1" minValue="0" maxValue="6"/>
    </cacheField>
    <cacheField name="TotalSteps" numFmtId="0">
      <sharedItems containsSemiMixedTypes="0" containsString="0" containsNumber="1" containsInteger="1" minValue="0" maxValue="36019"/>
    </cacheField>
    <cacheField name="TotalDistance" numFmtId="0">
      <sharedItems containsSemiMixedTypes="0" containsString="0" containsNumber="1" minValue="0" maxValue="28.030000686645501"/>
    </cacheField>
    <cacheField name="VeryActiveMinutes" numFmtId="0">
      <sharedItems containsSemiMixedTypes="0" containsString="0" containsNumber="1" containsInteger="1" minValue="0" maxValue="210"/>
    </cacheField>
    <cacheField name="FairlyActiveMinutes" numFmtId="0">
      <sharedItems containsSemiMixedTypes="0" containsString="0" containsNumber="1" containsInteger="1" minValue="0" maxValue="143"/>
    </cacheField>
    <cacheField name="LightlyActiveMinutes" numFmtId="0">
      <sharedItems containsSemiMixedTypes="0" containsString="0" containsNumber="1" containsInteger="1" minValue="0" maxValue="518"/>
    </cacheField>
    <cacheField name="Calories" numFmtId="0">
      <sharedItems containsSemiMixedTypes="0" containsString="0" containsNumber="1" containsInteger="1" minValue="0" maxValue="4900"/>
    </cacheField>
    <cacheField name="Days (ActivityDate)" numFmtId="0" databaseField="0">
      <fieldGroup base="1">
        <rangePr groupBy="days" startDate="2016-04-12T00:00:00" endDate="2016-05-13T00:00:00"/>
        <groupItems count="368">
          <s v="&lt;12-04-201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05-2016"/>
        </groupItems>
      </fieldGroup>
    </cacheField>
    <cacheField name="Months (ActivityDate)" numFmtId="0" databaseField="0">
      <fieldGroup base="1">
        <rangePr groupBy="months" startDate="2016-04-12T00:00:00" endDate="2016-05-13T00:00:00"/>
        <groupItems count="14">
          <s v="&lt;12-04-2016"/>
          <s v="Jan"/>
          <s v="Feb"/>
          <s v="Mar"/>
          <s v="Apr"/>
          <s v="May"/>
          <s v="Jun"/>
          <s v="Jul"/>
          <s v="Aug"/>
          <s v="Sep"/>
          <s v="Oct"/>
          <s v="Nov"/>
          <s v="Dec"/>
          <s v="&gt;13-05-2016"/>
        </groupItems>
      </fieldGroup>
    </cacheField>
  </cacheFields>
  <extLst>
    <ext xmlns:x14="http://schemas.microsoft.com/office/spreadsheetml/2009/9/main" uri="{725AE2AE-9491-48be-B2B4-4EB974FC3084}">
      <x14:pivotCacheDefinition pivotCacheId="5731420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424.852473263891" createdVersion="8" refreshedVersion="8" minRefreshableVersion="3" recordCount="33" xr:uid="{EB8E778D-BB07-4BA2-B139-0966CC9C349D}">
  <cacheSource type="worksheet">
    <worksheetSource ref="A1:L34" sheet="Q1-8 (By Id)"/>
  </cacheSource>
  <cacheFields count="12">
    <cacheField name="Id" numFmtId="0">
      <sharedItems containsSemiMixedTypes="0" containsString="0" containsNumber="1" containsInteger="1" minValue="1503960366" maxValue="8877689391" count="33">
        <n v="1503960366"/>
        <n v="1624580081"/>
        <n v="1644430081"/>
        <n v="1844505072"/>
        <n v="1927972279"/>
        <n v="2022484408"/>
        <n v="2026352035"/>
        <n v="2320127002"/>
        <n v="2347167796"/>
        <n v="2873212765"/>
        <n v="3372868164"/>
        <n v="3977333714"/>
        <n v="4020332650"/>
        <n v="4057192912"/>
        <n v="4319703577"/>
        <n v="4388161847"/>
        <n v="4445114986"/>
        <n v="4558609924"/>
        <n v="4702921684"/>
        <n v="5553957443"/>
        <n v="5577150313"/>
        <n v="6117666160"/>
        <n v="6290855005"/>
        <n v="6775888955"/>
        <n v="6962181067"/>
        <n v="7007744171"/>
        <n v="7086361926"/>
        <n v="8053475328"/>
        <n v="8253242879"/>
        <n v="8378563200"/>
        <n v="8583815059"/>
        <n v="8792009665"/>
        <n v="8877689391"/>
      </sharedItems>
    </cacheField>
    <cacheField name="DaysActive" numFmtId="0">
      <sharedItems containsSemiMixedTypes="0" containsString="0" containsNumber="1" containsInteger="1" minValue="4" maxValue="31"/>
    </cacheField>
    <cacheField name="GearUseageActivity" numFmtId="0">
      <sharedItems count="3">
        <s v="Active"/>
        <s v="Moderate"/>
        <s v="Light"/>
      </sharedItems>
    </cacheField>
    <cacheField name="AvgDailyDistance" numFmtId="2">
      <sharedItems containsSemiMixedTypes="0" containsString="0" containsNumber="1" minValue="0.63451612308140759" maxValue="13.212903138129944"/>
    </cacheField>
    <cacheField name="TravelActivityLevel" numFmtId="0">
      <sharedItems count="3">
        <s v="Intermediate"/>
        <s v="Beginner"/>
        <s v="Pro"/>
      </sharedItems>
    </cacheField>
    <cacheField name="TotalSteps" numFmtId="0">
      <sharedItems containsSemiMixedTypes="0" containsString="0" containsNumber="1" containsInteger="1" minValue="15352" maxValue="497241"/>
    </cacheField>
    <cacheField name="AvgStepsDaily" numFmtId="2">
      <sharedItems containsSemiMixedTypes="0" containsString="0" containsNumber="1" minValue="916.12903225806451" maxValue="16040.032258064517"/>
    </cacheField>
    <cacheField name="TotalCalories" numFmtId="0">
      <sharedItems containsSemiMixedTypes="0" containsString="0" containsNumber="1" containsInteger="1" minValue="7895" maxValue="106534"/>
    </cacheField>
    <cacheField name="AvgCaloriesDaily" numFmtId="2">
      <sharedItems containsSemiMixedTypes="0" containsString="0" containsNumber="1" minValue="1483.3548387096773" maxValue="3436.5806451612902"/>
    </cacheField>
    <cacheField name="AvgLightlyActiveMin" numFmtId="2">
      <sharedItems containsSemiMixedTypes="0" containsString="0" containsNumber="1" minValue="38.58064516129032" maxValue="327.9"/>
    </cacheField>
    <cacheField name="AvgFairlyActiveMin" numFmtId="2">
      <sharedItems containsSemiMixedTypes="0" containsString="0" containsNumber="1" minValue="0.25806451612903225" maxValue="61.266666666666666"/>
    </cacheField>
    <cacheField name="AvgVeryActiveMin" numFmtId="2">
      <sharedItems containsSemiMixedTypes="0" containsString="0" containsNumber="1" minValue="9.6774193548387094E-2" maxValue="87.33333333333332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0">
  <r>
    <x v="0"/>
    <x v="0"/>
    <x v="0"/>
    <n v="2"/>
    <n v="13162"/>
    <n v="8.5"/>
    <n v="25"/>
    <n v="13"/>
    <n v="328"/>
    <n v="1985"/>
  </r>
  <r>
    <x v="0"/>
    <x v="1"/>
    <x v="1"/>
    <n v="3"/>
    <n v="10735"/>
    <n v="6.9699997901916504"/>
    <n v="21"/>
    <n v="19"/>
    <n v="217"/>
    <n v="1797"/>
  </r>
  <r>
    <x v="0"/>
    <x v="2"/>
    <x v="2"/>
    <n v="4"/>
    <n v="10460"/>
    <n v="6.7399997711181596"/>
    <n v="30"/>
    <n v="11"/>
    <n v="181"/>
    <n v="1776"/>
  </r>
  <r>
    <x v="0"/>
    <x v="3"/>
    <x v="3"/>
    <n v="5"/>
    <n v="9762"/>
    <n v="6.2800002098083496"/>
    <n v="29"/>
    <n v="34"/>
    <n v="209"/>
    <n v="1745"/>
  </r>
  <r>
    <x v="0"/>
    <x v="4"/>
    <x v="4"/>
    <n v="6"/>
    <n v="12669"/>
    <n v="8.1599998474121094"/>
    <n v="36"/>
    <n v="10"/>
    <n v="221"/>
    <n v="1863"/>
  </r>
  <r>
    <x v="0"/>
    <x v="5"/>
    <x v="5"/>
    <n v="0"/>
    <n v="9705"/>
    <n v="6.4800000190734899"/>
    <n v="38"/>
    <n v="20"/>
    <n v="164"/>
    <n v="1728"/>
  </r>
  <r>
    <x v="0"/>
    <x v="6"/>
    <x v="6"/>
    <n v="1"/>
    <n v="13019"/>
    <n v="8.5900001525878906"/>
    <n v="42"/>
    <n v="16"/>
    <n v="233"/>
    <n v="1921"/>
  </r>
  <r>
    <x v="0"/>
    <x v="7"/>
    <x v="0"/>
    <n v="2"/>
    <n v="15506"/>
    <n v="9.8800001144409197"/>
    <n v="50"/>
    <n v="31"/>
    <n v="264"/>
    <n v="2035"/>
  </r>
  <r>
    <x v="0"/>
    <x v="8"/>
    <x v="1"/>
    <n v="3"/>
    <n v="10544"/>
    <n v="6.6799998283386204"/>
    <n v="28"/>
    <n v="12"/>
    <n v="205"/>
    <n v="1786"/>
  </r>
  <r>
    <x v="0"/>
    <x v="9"/>
    <x v="2"/>
    <n v="4"/>
    <n v="9819"/>
    <n v="6.3400001525878897"/>
    <n v="19"/>
    <n v="8"/>
    <n v="211"/>
    <n v="1775"/>
  </r>
  <r>
    <x v="0"/>
    <x v="10"/>
    <x v="3"/>
    <n v="5"/>
    <n v="12764"/>
    <n v="8.1300001144409197"/>
    <n v="66"/>
    <n v="27"/>
    <n v="130"/>
    <n v="1827"/>
  </r>
  <r>
    <x v="0"/>
    <x v="11"/>
    <x v="4"/>
    <n v="6"/>
    <n v="14371"/>
    <n v="9.0399999618530291"/>
    <n v="41"/>
    <n v="21"/>
    <n v="262"/>
    <n v="1949"/>
  </r>
  <r>
    <x v="0"/>
    <x v="12"/>
    <x v="5"/>
    <n v="0"/>
    <n v="10039"/>
    <n v="6.4099998474121103"/>
    <n v="39"/>
    <n v="5"/>
    <n v="238"/>
    <n v="1788"/>
  </r>
  <r>
    <x v="0"/>
    <x v="13"/>
    <x v="6"/>
    <n v="1"/>
    <n v="15355"/>
    <n v="9.8000001907348597"/>
    <n v="73"/>
    <n v="14"/>
    <n v="216"/>
    <n v="2013"/>
  </r>
  <r>
    <x v="0"/>
    <x v="14"/>
    <x v="0"/>
    <n v="2"/>
    <n v="13755"/>
    <n v="8.7899999618530291"/>
    <n v="31"/>
    <n v="23"/>
    <n v="279"/>
    <n v="1970"/>
  </r>
  <r>
    <x v="0"/>
    <x v="15"/>
    <x v="1"/>
    <n v="3"/>
    <n v="18134"/>
    <n v="12.210000038146999"/>
    <n v="78"/>
    <n v="11"/>
    <n v="243"/>
    <n v="2159"/>
  </r>
  <r>
    <x v="0"/>
    <x v="16"/>
    <x v="2"/>
    <n v="4"/>
    <n v="13154"/>
    <n v="8.5299997329711896"/>
    <n v="48"/>
    <n v="28"/>
    <n v="189"/>
    <n v="1898"/>
  </r>
  <r>
    <x v="0"/>
    <x v="17"/>
    <x v="3"/>
    <n v="5"/>
    <n v="11181"/>
    <n v="7.1500000953674299"/>
    <n v="16"/>
    <n v="12"/>
    <n v="243"/>
    <n v="1837"/>
  </r>
  <r>
    <x v="0"/>
    <x v="18"/>
    <x v="4"/>
    <n v="6"/>
    <n v="14673"/>
    <n v="9.25"/>
    <n v="52"/>
    <n v="34"/>
    <n v="217"/>
    <n v="1947"/>
  </r>
  <r>
    <x v="0"/>
    <x v="19"/>
    <x v="5"/>
    <n v="0"/>
    <n v="10602"/>
    <n v="6.8099999427795401"/>
    <n v="33"/>
    <n v="35"/>
    <n v="246"/>
    <n v="1820"/>
  </r>
  <r>
    <x v="0"/>
    <x v="20"/>
    <x v="6"/>
    <n v="1"/>
    <n v="14727"/>
    <n v="9.7100000381469709"/>
    <n v="41"/>
    <n v="15"/>
    <n v="277"/>
    <n v="2004"/>
  </r>
  <r>
    <x v="0"/>
    <x v="21"/>
    <x v="0"/>
    <n v="2"/>
    <n v="15103"/>
    <n v="9.6599998474121094"/>
    <n v="50"/>
    <n v="24"/>
    <n v="254"/>
    <n v="1990"/>
  </r>
  <r>
    <x v="0"/>
    <x v="22"/>
    <x v="1"/>
    <n v="3"/>
    <n v="11100"/>
    <n v="7.1500000953674299"/>
    <n v="36"/>
    <n v="22"/>
    <n v="203"/>
    <n v="1819"/>
  </r>
  <r>
    <x v="0"/>
    <x v="23"/>
    <x v="2"/>
    <n v="4"/>
    <n v="14070"/>
    <n v="8.8999996185302699"/>
    <n v="45"/>
    <n v="24"/>
    <n v="250"/>
    <n v="1959"/>
  </r>
  <r>
    <x v="0"/>
    <x v="24"/>
    <x v="3"/>
    <n v="5"/>
    <n v="12159"/>
    <n v="8.0299997329711896"/>
    <n v="24"/>
    <n v="6"/>
    <n v="289"/>
    <n v="1896"/>
  </r>
  <r>
    <x v="0"/>
    <x v="25"/>
    <x v="4"/>
    <n v="6"/>
    <n v="11992"/>
    <n v="7.71000003814697"/>
    <n v="37"/>
    <n v="46"/>
    <n v="175"/>
    <n v="1821"/>
  </r>
  <r>
    <x v="0"/>
    <x v="26"/>
    <x v="5"/>
    <n v="0"/>
    <n v="10060"/>
    <n v="6.5799999237060502"/>
    <n v="44"/>
    <n v="8"/>
    <n v="203"/>
    <n v="1740"/>
  </r>
  <r>
    <x v="0"/>
    <x v="27"/>
    <x v="6"/>
    <n v="1"/>
    <n v="12022"/>
    <n v="7.7199997901916504"/>
    <n v="46"/>
    <n v="11"/>
    <n v="206"/>
    <n v="1819"/>
  </r>
  <r>
    <x v="0"/>
    <x v="28"/>
    <x v="0"/>
    <n v="2"/>
    <n v="12207"/>
    <n v="7.7699999809265101"/>
    <n v="46"/>
    <n v="31"/>
    <n v="214"/>
    <n v="1859"/>
  </r>
  <r>
    <x v="0"/>
    <x v="29"/>
    <x v="1"/>
    <n v="3"/>
    <n v="12770"/>
    <n v="8.1300001144409197"/>
    <n v="36"/>
    <n v="23"/>
    <n v="251"/>
    <n v="1783"/>
  </r>
  <r>
    <x v="0"/>
    <x v="30"/>
    <x v="2"/>
    <n v="4"/>
    <n v="0"/>
    <n v="0"/>
    <n v="0"/>
    <n v="0"/>
    <n v="0"/>
    <n v="0"/>
  </r>
  <r>
    <x v="1"/>
    <x v="0"/>
    <x v="0"/>
    <n v="2"/>
    <n v="8163"/>
    <n v="5.3099999427795401"/>
    <n v="0"/>
    <n v="0"/>
    <n v="146"/>
    <n v="1432"/>
  </r>
  <r>
    <x v="1"/>
    <x v="1"/>
    <x v="1"/>
    <n v="3"/>
    <n v="7007"/>
    <n v="4.5500001907348597"/>
    <n v="0"/>
    <n v="0"/>
    <n v="148"/>
    <n v="1411"/>
  </r>
  <r>
    <x v="1"/>
    <x v="2"/>
    <x v="2"/>
    <n v="4"/>
    <n v="9107"/>
    <n v="5.9200000762939498"/>
    <n v="0"/>
    <n v="0"/>
    <n v="236"/>
    <n v="1572"/>
  </r>
  <r>
    <x v="1"/>
    <x v="3"/>
    <x v="3"/>
    <n v="5"/>
    <n v="1510"/>
    <n v="0.980000019073486"/>
    <n v="0"/>
    <n v="0"/>
    <n v="96"/>
    <n v="1344"/>
  </r>
  <r>
    <x v="1"/>
    <x v="4"/>
    <x v="4"/>
    <n v="6"/>
    <n v="5370"/>
    <n v="3.4900000095367401"/>
    <n v="0"/>
    <n v="0"/>
    <n v="176"/>
    <n v="1463"/>
  </r>
  <r>
    <x v="1"/>
    <x v="5"/>
    <x v="5"/>
    <n v="0"/>
    <n v="6175"/>
    <n v="4.0599999427795401"/>
    <n v="15"/>
    <n v="22"/>
    <n v="127"/>
    <n v="1554"/>
  </r>
  <r>
    <x v="1"/>
    <x v="6"/>
    <x v="6"/>
    <n v="1"/>
    <n v="10536"/>
    <n v="7.4099998474121103"/>
    <n v="17"/>
    <n v="7"/>
    <n v="202"/>
    <n v="1604"/>
  </r>
  <r>
    <x v="1"/>
    <x v="7"/>
    <x v="0"/>
    <n v="2"/>
    <n v="2916"/>
    <n v="1.8999999761581401"/>
    <n v="0"/>
    <n v="0"/>
    <n v="141"/>
    <n v="1435"/>
  </r>
  <r>
    <x v="1"/>
    <x v="8"/>
    <x v="1"/>
    <n v="3"/>
    <n v="4974"/>
    <n v="3.2300000190734899"/>
    <n v="0"/>
    <n v="0"/>
    <n v="151"/>
    <n v="1446"/>
  </r>
  <r>
    <x v="1"/>
    <x v="9"/>
    <x v="2"/>
    <n v="4"/>
    <n v="6349"/>
    <n v="4.1300001144409197"/>
    <n v="0"/>
    <n v="0"/>
    <n v="186"/>
    <n v="1467"/>
  </r>
  <r>
    <x v="1"/>
    <x v="10"/>
    <x v="3"/>
    <n v="5"/>
    <n v="4026"/>
    <n v="2.6199998855590798"/>
    <n v="0"/>
    <n v="0"/>
    <n v="199"/>
    <n v="1470"/>
  </r>
  <r>
    <x v="1"/>
    <x v="11"/>
    <x v="4"/>
    <n v="6"/>
    <n v="8538"/>
    <n v="5.5500001907348597"/>
    <n v="0"/>
    <n v="0"/>
    <n v="227"/>
    <n v="1562"/>
  </r>
  <r>
    <x v="1"/>
    <x v="12"/>
    <x v="5"/>
    <n v="0"/>
    <n v="6076"/>
    <n v="3.9500000476837198"/>
    <n v="16"/>
    <n v="18"/>
    <n v="185"/>
    <n v="1617"/>
  </r>
  <r>
    <x v="1"/>
    <x v="13"/>
    <x v="6"/>
    <n v="1"/>
    <n v="6497"/>
    <n v="4.2199997901916504"/>
    <n v="0"/>
    <n v="0"/>
    <n v="202"/>
    <n v="1492"/>
  </r>
  <r>
    <x v="1"/>
    <x v="14"/>
    <x v="0"/>
    <n v="2"/>
    <n v="2826"/>
    <n v="1.8400000333786"/>
    <n v="0"/>
    <n v="0"/>
    <n v="140"/>
    <n v="1402"/>
  </r>
  <r>
    <x v="1"/>
    <x v="15"/>
    <x v="1"/>
    <n v="3"/>
    <n v="8367"/>
    <n v="5.4400000572204599"/>
    <n v="17"/>
    <n v="36"/>
    <n v="154"/>
    <n v="1670"/>
  </r>
  <r>
    <x v="1"/>
    <x v="16"/>
    <x v="2"/>
    <n v="4"/>
    <n v="2759"/>
    <n v="1.78999996185303"/>
    <n v="0"/>
    <n v="5"/>
    <n v="115"/>
    <n v="1401"/>
  </r>
  <r>
    <x v="1"/>
    <x v="17"/>
    <x v="3"/>
    <n v="5"/>
    <n v="2390"/>
    <n v="1.54999995231628"/>
    <n v="0"/>
    <n v="0"/>
    <n v="150"/>
    <n v="1404"/>
  </r>
  <r>
    <x v="1"/>
    <x v="18"/>
    <x v="4"/>
    <n v="6"/>
    <n v="6474"/>
    <n v="4.3000001907348597"/>
    <n v="11"/>
    <n v="23"/>
    <n v="224"/>
    <n v="1655"/>
  </r>
  <r>
    <x v="1"/>
    <x v="19"/>
    <x v="5"/>
    <n v="0"/>
    <n v="36019"/>
    <n v="28.030000686645501"/>
    <n v="186"/>
    <n v="63"/>
    <n v="171"/>
    <n v="2690"/>
  </r>
  <r>
    <x v="1"/>
    <x v="20"/>
    <x v="6"/>
    <n v="1"/>
    <n v="7155"/>
    <n v="4.9299998283386204"/>
    <n v="7"/>
    <n v="6"/>
    <n v="166"/>
    <n v="1497"/>
  </r>
  <r>
    <x v="1"/>
    <x v="21"/>
    <x v="0"/>
    <n v="2"/>
    <n v="2100"/>
    <n v="1.37000000476837"/>
    <n v="0"/>
    <n v="0"/>
    <n v="96"/>
    <n v="1334"/>
  </r>
  <r>
    <x v="1"/>
    <x v="22"/>
    <x v="1"/>
    <n v="3"/>
    <n v="2193"/>
    <n v="1.4299999475479099"/>
    <n v="0"/>
    <n v="0"/>
    <n v="118"/>
    <n v="1368"/>
  </r>
  <r>
    <x v="1"/>
    <x v="23"/>
    <x v="2"/>
    <n v="4"/>
    <n v="2470"/>
    <n v="1.6100000143051101"/>
    <n v="0"/>
    <n v="0"/>
    <n v="117"/>
    <n v="1370"/>
  </r>
  <r>
    <x v="1"/>
    <x v="24"/>
    <x v="3"/>
    <n v="5"/>
    <n v="1727"/>
    <n v="1.12000000476837"/>
    <n v="0"/>
    <n v="0"/>
    <n v="102"/>
    <n v="1341"/>
  </r>
  <r>
    <x v="1"/>
    <x v="25"/>
    <x v="4"/>
    <n v="6"/>
    <n v="2104"/>
    <n v="1.37000000476837"/>
    <n v="0"/>
    <n v="0"/>
    <n v="182"/>
    <n v="1474"/>
  </r>
  <r>
    <x v="1"/>
    <x v="26"/>
    <x v="5"/>
    <n v="0"/>
    <n v="3427"/>
    <n v="2.2300000190734899"/>
    <n v="0"/>
    <n v="0"/>
    <n v="152"/>
    <n v="1427"/>
  </r>
  <r>
    <x v="1"/>
    <x v="27"/>
    <x v="6"/>
    <n v="1"/>
    <n v="1732"/>
    <n v="1.12999999523163"/>
    <n v="0"/>
    <n v="0"/>
    <n v="91"/>
    <n v="1328"/>
  </r>
  <r>
    <x v="1"/>
    <x v="28"/>
    <x v="0"/>
    <n v="2"/>
    <n v="2969"/>
    <n v="1.9299999475479099"/>
    <n v="0"/>
    <n v="0"/>
    <n v="139"/>
    <n v="1393"/>
  </r>
  <r>
    <x v="1"/>
    <x v="29"/>
    <x v="1"/>
    <n v="3"/>
    <n v="3134"/>
    <n v="2.03999996185303"/>
    <n v="0"/>
    <n v="0"/>
    <n v="112"/>
    <n v="1359"/>
  </r>
  <r>
    <x v="1"/>
    <x v="30"/>
    <x v="2"/>
    <n v="4"/>
    <n v="2971"/>
    <n v="1.9299999475479099"/>
    <n v="0"/>
    <n v="0"/>
    <n v="107"/>
    <n v="1002"/>
  </r>
  <r>
    <x v="2"/>
    <x v="0"/>
    <x v="0"/>
    <n v="2"/>
    <n v="10694"/>
    <n v="7.7699999809265101"/>
    <n v="2"/>
    <n v="51"/>
    <n v="256"/>
    <n v="3199"/>
  </r>
  <r>
    <x v="2"/>
    <x v="1"/>
    <x v="1"/>
    <n v="3"/>
    <n v="8001"/>
    <n v="5.8200001716613796"/>
    <n v="30"/>
    <n v="16"/>
    <n v="135"/>
    <n v="2902"/>
  </r>
  <r>
    <x v="2"/>
    <x v="2"/>
    <x v="2"/>
    <n v="4"/>
    <n v="11037"/>
    <n v="8.0200004577636701"/>
    <n v="5"/>
    <n v="58"/>
    <n v="252"/>
    <n v="3226"/>
  </r>
  <r>
    <x v="2"/>
    <x v="3"/>
    <x v="3"/>
    <n v="5"/>
    <n v="5263"/>
    <n v="3.8299999237060498"/>
    <n v="3"/>
    <n v="4"/>
    <n v="170"/>
    <n v="2750"/>
  </r>
  <r>
    <x v="2"/>
    <x v="4"/>
    <x v="4"/>
    <n v="6"/>
    <n v="15300"/>
    <n v="11.1199998855591"/>
    <n v="51"/>
    <n v="42"/>
    <n v="212"/>
    <n v="3493"/>
  </r>
  <r>
    <x v="2"/>
    <x v="5"/>
    <x v="5"/>
    <n v="0"/>
    <n v="8757"/>
    <n v="6.3699998855590803"/>
    <n v="29"/>
    <n v="13"/>
    <n v="186"/>
    <n v="3011"/>
  </r>
  <r>
    <x v="2"/>
    <x v="6"/>
    <x v="6"/>
    <n v="1"/>
    <n v="7132"/>
    <n v="5.1900000572204599"/>
    <n v="15"/>
    <n v="33"/>
    <n v="121"/>
    <n v="2806"/>
  </r>
  <r>
    <x v="2"/>
    <x v="7"/>
    <x v="0"/>
    <n v="2"/>
    <n v="11256"/>
    <n v="8.1800003051757795"/>
    <n v="5"/>
    <n v="58"/>
    <n v="278"/>
    <n v="3300"/>
  </r>
  <r>
    <x v="2"/>
    <x v="8"/>
    <x v="1"/>
    <n v="3"/>
    <n v="2436"/>
    <n v="1.7699999809265099"/>
    <n v="0"/>
    <n v="0"/>
    <n v="125"/>
    <n v="2430"/>
  </r>
  <r>
    <x v="2"/>
    <x v="9"/>
    <x v="2"/>
    <n v="4"/>
    <n v="1223"/>
    <n v="0.88999998569488503"/>
    <n v="0"/>
    <n v="0"/>
    <n v="38"/>
    <n v="2140"/>
  </r>
  <r>
    <x v="2"/>
    <x v="10"/>
    <x v="3"/>
    <n v="5"/>
    <n v="3673"/>
    <n v="2.6700000762939502"/>
    <n v="0"/>
    <n v="0"/>
    <n v="86"/>
    <n v="2344"/>
  </r>
  <r>
    <x v="2"/>
    <x v="11"/>
    <x v="4"/>
    <n v="6"/>
    <n v="6637"/>
    <n v="4.8299999237060502"/>
    <n v="0"/>
    <n v="15"/>
    <n v="160"/>
    <n v="2677"/>
  </r>
  <r>
    <x v="2"/>
    <x v="12"/>
    <x v="5"/>
    <n v="0"/>
    <n v="3321"/>
    <n v="2.4100000858306898"/>
    <n v="0"/>
    <n v="0"/>
    <n v="89"/>
    <n v="2413"/>
  </r>
  <r>
    <x v="2"/>
    <x v="13"/>
    <x v="6"/>
    <n v="1"/>
    <n v="3580"/>
    <n v="2.5999999046325701"/>
    <n v="8"/>
    <n v="1"/>
    <n v="94"/>
    <n v="2497"/>
  </r>
  <r>
    <x v="2"/>
    <x v="14"/>
    <x v="0"/>
    <n v="2"/>
    <n v="9919"/>
    <n v="7.21000003814697"/>
    <n v="11"/>
    <n v="41"/>
    <n v="223"/>
    <n v="3123"/>
  </r>
  <r>
    <x v="2"/>
    <x v="15"/>
    <x v="1"/>
    <n v="3"/>
    <n v="3032"/>
    <n v="2.2000000476837198"/>
    <n v="0"/>
    <n v="0"/>
    <n v="118"/>
    <n v="2489"/>
  </r>
  <r>
    <x v="2"/>
    <x v="16"/>
    <x v="2"/>
    <n v="4"/>
    <n v="9405"/>
    <n v="6.8400001525878897"/>
    <n v="3"/>
    <n v="53"/>
    <n v="227"/>
    <n v="3108"/>
  </r>
  <r>
    <x v="2"/>
    <x v="17"/>
    <x v="3"/>
    <n v="5"/>
    <n v="3176"/>
    <n v="2.3099999427795401"/>
    <n v="0"/>
    <n v="0"/>
    <n v="120"/>
    <n v="2498"/>
  </r>
  <r>
    <x v="2"/>
    <x v="18"/>
    <x v="4"/>
    <n v="6"/>
    <n v="18213"/>
    <n v="13.2399997711182"/>
    <n v="9"/>
    <n v="71"/>
    <n v="402"/>
    <n v="3846"/>
  </r>
  <r>
    <x v="2"/>
    <x v="19"/>
    <x v="5"/>
    <n v="0"/>
    <n v="6132"/>
    <n v="4.46000003814697"/>
    <n v="3"/>
    <n v="24"/>
    <n v="146"/>
    <n v="2696"/>
  </r>
  <r>
    <x v="2"/>
    <x v="20"/>
    <x v="6"/>
    <n v="1"/>
    <n v="3758"/>
    <n v="2.7300000190734899"/>
    <n v="1"/>
    <n v="7"/>
    <n v="148"/>
    <n v="2580"/>
  </r>
  <r>
    <x v="2"/>
    <x v="21"/>
    <x v="0"/>
    <n v="2"/>
    <n v="12850"/>
    <n v="9.3400001525878906"/>
    <n v="10"/>
    <n v="94"/>
    <n v="221"/>
    <n v="3324"/>
  </r>
  <r>
    <x v="2"/>
    <x v="22"/>
    <x v="1"/>
    <n v="3"/>
    <n v="2309"/>
    <n v="1.6799999475479099"/>
    <n v="0"/>
    <n v="0"/>
    <n v="52"/>
    <n v="2222"/>
  </r>
  <r>
    <x v="2"/>
    <x v="23"/>
    <x v="2"/>
    <n v="4"/>
    <n v="4363"/>
    <n v="3.1900000572204599"/>
    <n v="6"/>
    <n v="12"/>
    <n v="81"/>
    <n v="2463"/>
  </r>
  <r>
    <x v="2"/>
    <x v="24"/>
    <x v="3"/>
    <n v="5"/>
    <n v="9787"/>
    <n v="7.1199998855590803"/>
    <n v="11"/>
    <n v="6"/>
    <n v="369"/>
    <n v="3328"/>
  </r>
  <r>
    <x v="2"/>
    <x v="25"/>
    <x v="4"/>
    <n v="6"/>
    <n v="13372"/>
    <n v="9.7200002670288104"/>
    <n v="41"/>
    <n v="17"/>
    <n v="243"/>
    <n v="3404"/>
  </r>
  <r>
    <x v="2"/>
    <x v="26"/>
    <x v="5"/>
    <n v="0"/>
    <n v="6724"/>
    <n v="4.8899998664856001"/>
    <n v="0"/>
    <n v="0"/>
    <n v="295"/>
    <n v="2987"/>
  </r>
  <r>
    <x v="2"/>
    <x v="27"/>
    <x v="6"/>
    <n v="1"/>
    <n v="6643"/>
    <n v="4.8299999237060502"/>
    <n v="32"/>
    <n v="6"/>
    <n v="303"/>
    <n v="3008"/>
  </r>
  <r>
    <x v="2"/>
    <x v="28"/>
    <x v="0"/>
    <n v="2"/>
    <n v="9167"/>
    <n v="6.6599998474121103"/>
    <n v="12"/>
    <n v="19"/>
    <n v="155"/>
    <n v="2799"/>
  </r>
  <r>
    <x v="2"/>
    <x v="29"/>
    <x v="1"/>
    <n v="3"/>
    <n v="1329"/>
    <n v="0.97000002861022905"/>
    <n v="0"/>
    <n v="0"/>
    <n v="49"/>
    <n v="1276"/>
  </r>
  <r>
    <x v="3"/>
    <x v="0"/>
    <x v="0"/>
    <n v="2"/>
    <n v="6697"/>
    <n v="4.4299998283386204"/>
    <n v="0"/>
    <n v="0"/>
    <n v="339"/>
    <n v="2030"/>
  </r>
  <r>
    <x v="3"/>
    <x v="1"/>
    <x v="1"/>
    <n v="3"/>
    <n v="4929"/>
    <n v="3.2599999904632599"/>
    <n v="0"/>
    <n v="0"/>
    <n v="248"/>
    <n v="1860"/>
  </r>
  <r>
    <x v="3"/>
    <x v="2"/>
    <x v="2"/>
    <n v="4"/>
    <n v="7937"/>
    <n v="5.25"/>
    <n v="0"/>
    <n v="0"/>
    <n v="373"/>
    <n v="2130"/>
  </r>
  <r>
    <x v="3"/>
    <x v="3"/>
    <x v="3"/>
    <n v="5"/>
    <n v="3844"/>
    <n v="2.53999996185303"/>
    <n v="0"/>
    <n v="0"/>
    <n v="176"/>
    <n v="1725"/>
  </r>
  <r>
    <x v="3"/>
    <x v="4"/>
    <x v="4"/>
    <n v="6"/>
    <n v="3414"/>
    <n v="2.2599999904632599"/>
    <n v="0"/>
    <n v="0"/>
    <n v="147"/>
    <n v="1657"/>
  </r>
  <r>
    <x v="3"/>
    <x v="5"/>
    <x v="5"/>
    <n v="0"/>
    <n v="4525"/>
    <n v="2.9900000095367401"/>
    <n v="2"/>
    <n v="8"/>
    <n v="199"/>
    <n v="1793"/>
  </r>
  <r>
    <x v="3"/>
    <x v="6"/>
    <x v="6"/>
    <n v="1"/>
    <n v="4597"/>
    <n v="3.03999996185303"/>
    <n v="0"/>
    <n v="12"/>
    <n v="217"/>
    <n v="1814"/>
  </r>
  <r>
    <x v="3"/>
    <x v="7"/>
    <x v="0"/>
    <n v="2"/>
    <n v="197"/>
    <n v="0.129999995231628"/>
    <n v="0"/>
    <n v="0"/>
    <n v="10"/>
    <n v="1366"/>
  </r>
  <r>
    <x v="3"/>
    <x v="8"/>
    <x v="1"/>
    <n v="3"/>
    <n v="8"/>
    <n v="9.9999997764825804E-3"/>
    <n v="0"/>
    <n v="0"/>
    <n v="1"/>
    <n v="1349"/>
  </r>
  <r>
    <x v="3"/>
    <x v="9"/>
    <x v="2"/>
    <n v="4"/>
    <n v="8054"/>
    <n v="5.3200001716613796"/>
    <n v="2"/>
    <n v="13"/>
    <n v="308"/>
    <n v="2062"/>
  </r>
  <r>
    <x v="3"/>
    <x v="10"/>
    <x v="3"/>
    <n v="5"/>
    <n v="5372"/>
    <n v="3.5499999523162802"/>
    <n v="0"/>
    <n v="0"/>
    <n v="220"/>
    <n v="1827"/>
  </r>
  <r>
    <x v="3"/>
    <x v="11"/>
    <x v="4"/>
    <n v="6"/>
    <n v="3570"/>
    <n v="2.3599998950958301"/>
    <n v="0"/>
    <n v="0"/>
    <n v="139"/>
    <n v="1645"/>
  </r>
  <r>
    <x v="3"/>
    <x v="12"/>
    <x v="5"/>
    <n v="0"/>
    <n v="0"/>
    <n v="0"/>
    <n v="0"/>
    <n v="0"/>
    <n v="0"/>
    <n v="1347"/>
  </r>
  <r>
    <x v="3"/>
    <x v="13"/>
    <x v="6"/>
    <n v="1"/>
    <n v="0"/>
    <n v="0"/>
    <n v="0"/>
    <n v="0"/>
    <n v="0"/>
    <n v="1347"/>
  </r>
  <r>
    <x v="3"/>
    <x v="14"/>
    <x v="0"/>
    <n v="2"/>
    <n v="0"/>
    <n v="0"/>
    <n v="0"/>
    <n v="0"/>
    <n v="0"/>
    <n v="1347"/>
  </r>
  <r>
    <x v="3"/>
    <x v="15"/>
    <x v="1"/>
    <n v="3"/>
    <n v="4"/>
    <n v="0"/>
    <n v="0"/>
    <n v="0"/>
    <n v="1"/>
    <n v="1348"/>
  </r>
  <r>
    <x v="3"/>
    <x v="16"/>
    <x v="2"/>
    <n v="4"/>
    <n v="6907"/>
    <n v="4.5700001716613796"/>
    <n v="0"/>
    <n v="0"/>
    <n v="302"/>
    <n v="1992"/>
  </r>
  <r>
    <x v="3"/>
    <x v="17"/>
    <x v="3"/>
    <n v="5"/>
    <n v="4920"/>
    <n v="3.25"/>
    <n v="0"/>
    <n v="0"/>
    <n v="247"/>
    <n v="1856"/>
  </r>
  <r>
    <x v="3"/>
    <x v="18"/>
    <x v="4"/>
    <n v="6"/>
    <n v="4014"/>
    <n v="2.6700000762939502"/>
    <n v="0"/>
    <n v="0"/>
    <n v="184"/>
    <n v="1763"/>
  </r>
  <r>
    <x v="3"/>
    <x v="19"/>
    <x v="5"/>
    <n v="0"/>
    <n v="2573"/>
    <n v="1.70000004768372"/>
    <n v="0"/>
    <n v="7"/>
    <n v="75"/>
    <n v="1541"/>
  </r>
  <r>
    <x v="3"/>
    <x v="20"/>
    <x v="6"/>
    <n v="1"/>
    <n v="0"/>
    <n v="0"/>
    <n v="0"/>
    <n v="0"/>
    <n v="0"/>
    <n v="1348"/>
  </r>
  <r>
    <x v="3"/>
    <x v="21"/>
    <x v="0"/>
    <n v="2"/>
    <n v="4059"/>
    <n v="2.6800000667571999"/>
    <n v="0"/>
    <n v="0"/>
    <n v="184"/>
    <n v="1742"/>
  </r>
  <r>
    <x v="3"/>
    <x v="22"/>
    <x v="1"/>
    <n v="3"/>
    <n v="2080"/>
    <n v="1.37000000476837"/>
    <n v="0"/>
    <n v="0"/>
    <n v="87"/>
    <n v="1549"/>
  </r>
  <r>
    <x v="3"/>
    <x v="23"/>
    <x v="2"/>
    <n v="4"/>
    <n v="2237"/>
    <n v="1.4800000190734901"/>
    <n v="0"/>
    <n v="0"/>
    <n v="120"/>
    <n v="1589"/>
  </r>
  <r>
    <x v="3"/>
    <x v="24"/>
    <x v="3"/>
    <n v="5"/>
    <n v="44"/>
    <n v="2.9999999329447701E-2"/>
    <n v="0"/>
    <n v="0"/>
    <n v="2"/>
    <n v="1351"/>
  </r>
  <r>
    <x v="3"/>
    <x v="25"/>
    <x v="4"/>
    <n v="6"/>
    <n v="0"/>
    <n v="0"/>
    <n v="0"/>
    <n v="0"/>
    <n v="0"/>
    <n v="1347"/>
  </r>
  <r>
    <x v="3"/>
    <x v="26"/>
    <x v="5"/>
    <n v="0"/>
    <n v="0"/>
    <n v="0"/>
    <n v="0"/>
    <n v="0"/>
    <n v="0"/>
    <n v="1347"/>
  </r>
  <r>
    <x v="3"/>
    <x v="27"/>
    <x v="6"/>
    <n v="1"/>
    <n v="0"/>
    <n v="0"/>
    <n v="0"/>
    <n v="0"/>
    <n v="0"/>
    <n v="1347"/>
  </r>
  <r>
    <x v="3"/>
    <x v="28"/>
    <x v="0"/>
    <n v="2"/>
    <n v="0"/>
    <n v="0"/>
    <n v="0"/>
    <n v="0"/>
    <n v="0"/>
    <n v="1347"/>
  </r>
  <r>
    <x v="3"/>
    <x v="29"/>
    <x v="1"/>
    <n v="3"/>
    <n v="0"/>
    <n v="0"/>
    <n v="0"/>
    <n v="0"/>
    <n v="0"/>
    <n v="1347"/>
  </r>
  <r>
    <x v="3"/>
    <x v="30"/>
    <x v="2"/>
    <n v="4"/>
    <n v="0"/>
    <n v="0"/>
    <n v="0"/>
    <n v="0"/>
    <n v="0"/>
    <n v="665"/>
  </r>
  <r>
    <x v="4"/>
    <x v="0"/>
    <x v="0"/>
    <n v="2"/>
    <n v="678"/>
    <n v="0.46999999880790699"/>
    <n v="0"/>
    <n v="0"/>
    <n v="55"/>
    <n v="2220"/>
  </r>
  <r>
    <x v="4"/>
    <x v="1"/>
    <x v="1"/>
    <n v="3"/>
    <n v="356"/>
    <n v="0.25"/>
    <n v="0"/>
    <n v="0"/>
    <n v="32"/>
    <n v="2151"/>
  </r>
  <r>
    <x v="4"/>
    <x v="2"/>
    <x v="2"/>
    <n v="4"/>
    <n v="2163"/>
    <n v="1.5"/>
    <n v="0"/>
    <n v="9"/>
    <n v="88"/>
    <n v="2383"/>
  </r>
  <r>
    <x v="4"/>
    <x v="3"/>
    <x v="3"/>
    <n v="5"/>
    <n v="980"/>
    <n v="0.68000000715255704"/>
    <n v="0"/>
    <n v="0"/>
    <n v="51"/>
    <n v="2221"/>
  </r>
  <r>
    <x v="4"/>
    <x v="4"/>
    <x v="4"/>
    <n v="6"/>
    <n v="0"/>
    <n v="0"/>
    <n v="0"/>
    <n v="0"/>
    <n v="0"/>
    <n v="2064"/>
  </r>
  <r>
    <x v="4"/>
    <x v="5"/>
    <x v="5"/>
    <n v="0"/>
    <n v="0"/>
    <n v="0"/>
    <n v="0"/>
    <n v="0"/>
    <n v="0"/>
    <n v="2063"/>
  </r>
  <r>
    <x v="4"/>
    <x v="6"/>
    <x v="6"/>
    <n v="1"/>
    <n v="244"/>
    <n v="0.17000000178813901"/>
    <n v="0"/>
    <n v="0"/>
    <n v="17"/>
    <n v="2111"/>
  </r>
  <r>
    <x v="4"/>
    <x v="7"/>
    <x v="0"/>
    <n v="2"/>
    <n v="0"/>
    <n v="0"/>
    <n v="0"/>
    <n v="0"/>
    <n v="0"/>
    <n v="2063"/>
  </r>
  <r>
    <x v="4"/>
    <x v="8"/>
    <x v="1"/>
    <n v="3"/>
    <n v="0"/>
    <n v="0"/>
    <n v="0"/>
    <n v="0"/>
    <n v="0"/>
    <n v="2063"/>
  </r>
  <r>
    <x v="4"/>
    <x v="9"/>
    <x v="2"/>
    <n v="4"/>
    <n v="0"/>
    <n v="0"/>
    <n v="0"/>
    <n v="0"/>
    <n v="0"/>
    <n v="2064"/>
  </r>
  <r>
    <x v="4"/>
    <x v="10"/>
    <x v="3"/>
    <n v="5"/>
    <n v="149"/>
    <n v="0.10000000149011599"/>
    <n v="0"/>
    <n v="0"/>
    <n v="10"/>
    <n v="2093"/>
  </r>
  <r>
    <x v="4"/>
    <x v="11"/>
    <x v="4"/>
    <n v="6"/>
    <n v="2945"/>
    <n v="2.03999996185303"/>
    <n v="0"/>
    <n v="0"/>
    <n v="145"/>
    <n v="2499"/>
  </r>
  <r>
    <x v="4"/>
    <x v="12"/>
    <x v="5"/>
    <n v="0"/>
    <n v="2090"/>
    <n v="1.45000004768372"/>
    <n v="1"/>
    <n v="6"/>
    <n v="75"/>
    <n v="2324"/>
  </r>
  <r>
    <x v="4"/>
    <x v="13"/>
    <x v="6"/>
    <n v="1"/>
    <n v="152"/>
    <n v="0.109999999403954"/>
    <n v="0"/>
    <n v="0"/>
    <n v="12"/>
    <n v="2100"/>
  </r>
  <r>
    <x v="4"/>
    <x v="14"/>
    <x v="0"/>
    <n v="2"/>
    <n v="3761"/>
    <n v="2.5999999046325701"/>
    <n v="0"/>
    <n v="0"/>
    <n v="192"/>
    <n v="2638"/>
  </r>
  <r>
    <x v="4"/>
    <x v="15"/>
    <x v="1"/>
    <n v="3"/>
    <n v="0"/>
    <n v="0"/>
    <n v="0"/>
    <n v="0"/>
    <n v="0"/>
    <n v="2063"/>
  </r>
  <r>
    <x v="4"/>
    <x v="16"/>
    <x v="2"/>
    <n v="4"/>
    <n v="1675"/>
    <n v="1.1599999666214"/>
    <n v="0"/>
    <n v="0"/>
    <n v="95"/>
    <n v="2351"/>
  </r>
  <r>
    <x v="4"/>
    <x v="17"/>
    <x v="3"/>
    <n v="5"/>
    <n v="0"/>
    <n v="0"/>
    <n v="0"/>
    <n v="0"/>
    <n v="0"/>
    <n v="2063"/>
  </r>
  <r>
    <x v="4"/>
    <x v="18"/>
    <x v="4"/>
    <n v="6"/>
    <n v="0"/>
    <n v="0"/>
    <n v="0"/>
    <n v="0"/>
    <n v="0"/>
    <n v="2064"/>
  </r>
  <r>
    <x v="4"/>
    <x v="19"/>
    <x v="5"/>
    <n v="0"/>
    <n v="2704"/>
    <n v="1.87000000476837"/>
    <n v="14"/>
    <n v="1"/>
    <n v="70"/>
    <n v="2411"/>
  </r>
  <r>
    <x v="4"/>
    <x v="20"/>
    <x v="6"/>
    <n v="1"/>
    <n v="3790"/>
    <n v="2.6199998855590798"/>
    <n v="16"/>
    <n v="8"/>
    <n v="94"/>
    <n v="2505"/>
  </r>
  <r>
    <x v="4"/>
    <x v="21"/>
    <x v="0"/>
    <n v="2"/>
    <n v="1326"/>
    <n v="0.92000001668930098"/>
    <n v="10"/>
    <n v="0"/>
    <n v="17"/>
    <n v="2195"/>
  </r>
  <r>
    <x v="4"/>
    <x v="22"/>
    <x v="1"/>
    <n v="3"/>
    <n v="1786"/>
    <n v="1.2400000095367401"/>
    <n v="0"/>
    <n v="0"/>
    <n v="87"/>
    <n v="2338"/>
  </r>
  <r>
    <x v="4"/>
    <x v="23"/>
    <x v="2"/>
    <n v="4"/>
    <n v="0"/>
    <n v="0"/>
    <n v="0"/>
    <n v="0"/>
    <n v="0"/>
    <n v="2063"/>
  </r>
  <r>
    <x v="4"/>
    <x v="24"/>
    <x v="3"/>
    <n v="5"/>
    <n v="2091"/>
    <n v="1.45000004768372"/>
    <n v="0"/>
    <n v="0"/>
    <n v="108"/>
    <n v="2383"/>
  </r>
  <r>
    <x v="4"/>
    <x v="25"/>
    <x v="4"/>
    <n v="6"/>
    <n v="1510"/>
    <n v="1.03999996185303"/>
    <n v="0"/>
    <n v="0"/>
    <n v="48"/>
    <n v="2229"/>
  </r>
  <r>
    <x v="4"/>
    <x v="26"/>
    <x v="5"/>
    <n v="0"/>
    <n v="0"/>
    <n v="0"/>
    <n v="0"/>
    <n v="0"/>
    <n v="0"/>
    <n v="2063"/>
  </r>
  <r>
    <x v="4"/>
    <x v="27"/>
    <x v="6"/>
    <n v="1"/>
    <n v="0"/>
    <n v="0"/>
    <n v="0"/>
    <n v="0"/>
    <n v="0"/>
    <n v="2063"/>
  </r>
  <r>
    <x v="4"/>
    <x v="28"/>
    <x v="0"/>
    <n v="2"/>
    <n v="0"/>
    <n v="0"/>
    <n v="0"/>
    <n v="0"/>
    <n v="0"/>
    <n v="2063"/>
  </r>
  <r>
    <x v="4"/>
    <x v="29"/>
    <x v="1"/>
    <n v="3"/>
    <n v="0"/>
    <n v="0"/>
    <n v="0"/>
    <n v="0"/>
    <n v="0"/>
    <n v="2063"/>
  </r>
  <r>
    <x v="4"/>
    <x v="30"/>
    <x v="2"/>
    <n v="4"/>
    <n v="0"/>
    <n v="0"/>
    <n v="0"/>
    <n v="0"/>
    <n v="0"/>
    <n v="1383"/>
  </r>
  <r>
    <x v="5"/>
    <x v="0"/>
    <x v="0"/>
    <n v="2"/>
    <n v="11875"/>
    <n v="8.3400001525878906"/>
    <n v="42"/>
    <n v="14"/>
    <n v="227"/>
    <n v="2390"/>
  </r>
  <r>
    <x v="5"/>
    <x v="1"/>
    <x v="1"/>
    <n v="3"/>
    <n v="12024"/>
    <n v="8.5"/>
    <n v="43"/>
    <n v="5"/>
    <n v="292"/>
    <n v="2601"/>
  </r>
  <r>
    <x v="5"/>
    <x v="2"/>
    <x v="2"/>
    <n v="4"/>
    <n v="10690"/>
    <n v="7.5"/>
    <n v="32"/>
    <n v="3"/>
    <n v="257"/>
    <n v="2312"/>
  </r>
  <r>
    <x v="5"/>
    <x v="3"/>
    <x v="3"/>
    <n v="5"/>
    <n v="11034"/>
    <n v="8.0299997329711896"/>
    <n v="27"/>
    <n v="9"/>
    <n v="282"/>
    <n v="2525"/>
  </r>
  <r>
    <x v="5"/>
    <x v="4"/>
    <x v="4"/>
    <n v="6"/>
    <n v="10100"/>
    <n v="7.0900001525878897"/>
    <n v="41"/>
    <n v="11"/>
    <n v="151"/>
    <n v="2177"/>
  </r>
  <r>
    <x v="5"/>
    <x v="5"/>
    <x v="5"/>
    <n v="0"/>
    <n v="15112"/>
    <n v="11.3999996185303"/>
    <n v="28"/>
    <n v="29"/>
    <n v="331"/>
    <n v="2782"/>
  </r>
  <r>
    <x v="5"/>
    <x v="6"/>
    <x v="6"/>
    <n v="1"/>
    <n v="14131"/>
    <n v="10.069999694824199"/>
    <n v="48"/>
    <n v="3"/>
    <n v="311"/>
    <n v="2770"/>
  </r>
  <r>
    <x v="5"/>
    <x v="7"/>
    <x v="0"/>
    <n v="2"/>
    <n v="11548"/>
    <n v="8.5299997329711896"/>
    <n v="31"/>
    <n v="7"/>
    <n v="250"/>
    <n v="2489"/>
  </r>
  <r>
    <x v="5"/>
    <x v="8"/>
    <x v="1"/>
    <n v="3"/>
    <n v="15112"/>
    <n v="10.670000076293899"/>
    <n v="48"/>
    <n v="63"/>
    <n v="276"/>
    <n v="2897"/>
  </r>
  <r>
    <x v="5"/>
    <x v="9"/>
    <x v="2"/>
    <n v="4"/>
    <n v="12453"/>
    <n v="8.7399997711181605"/>
    <n v="104"/>
    <n v="53"/>
    <n v="255"/>
    <n v="3158"/>
  </r>
  <r>
    <x v="5"/>
    <x v="10"/>
    <x v="3"/>
    <n v="5"/>
    <n v="12954"/>
    <n v="9.3299999237060494"/>
    <n v="52"/>
    <n v="10"/>
    <n v="273"/>
    <n v="2638"/>
  </r>
  <r>
    <x v="5"/>
    <x v="11"/>
    <x v="4"/>
    <n v="6"/>
    <n v="6001"/>
    <n v="4.21000003814697"/>
    <n v="0"/>
    <n v="0"/>
    <n v="249"/>
    <n v="2069"/>
  </r>
  <r>
    <x v="5"/>
    <x v="12"/>
    <x v="5"/>
    <n v="0"/>
    <n v="13481"/>
    <n v="10.2799997329712"/>
    <n v="37"/>
    <n v="26"/>
    <n v="216"/>
    <n v="2529"/>
  </r>
  <r>
    <x v="5"/>
    <x v="13"/>
    <x v="6"/>
    <n v="1"/>
    <n v="11369"/>
    <n v="8.0100002288818395"/>
    <n v="44"/>
    <n v="8"/>
    <n v="217"/>
    <n v="2470"/>
  </r>
  <r>
    <x v="5"/>
    <x v="14"/>
    <x v="0"/>
    <n v="2"/>
    <n v="10119"/>
    <n v="7.1900000572204599"/>
    <n v="55"/>
    <n v="24"/>
    <n v="275"/>
    <n v="2793"/>
  </r>
  <r>
    <x v="5"/>
    <x v="15"/>
    <x v="1"/>
    <n v="3"/>
    <n v="10159"/>
    <n v="7.1300001144409197"/>
    <n v="19"/>
    <n v="20"/>
    <n v="282"/>
    <n v="2463"/>
  </r>
  <r>
    <x v="5"/>
    <x v="16"/>
    <x v="2"/>
    <n v="4"/>
    <n v="10140"/>
    <n v="7.1199998855590803"/>
    <n v="6"/>
    <n v="20"/>
    <n v="291"/>
    <n v="2296"/>
  </r>
  <r>
    <x v="5"/>
    <x v="17"/>
    <x v="3"/>
    <n v="5"/>
    <n v="10245"/>
    <n v="7.1900000572204599"/>
    <n v="21"/>
    <n v="40"/>
    <n v="281"/>
    <n v="2611"/>
  </r>
  <r>
    <x v="5"/>
    <x v="18"/>
    <x v="4"/>
    <n v="6"/>
    <n v="18387"/>
    <n v="12.9099998474121"/>
    <n v="13"/>
    <n v="23"/>
    <n v="361"/>
    <n v="2732"/>
  </r>
  <r>
    <x v="5"/>
    <x v="19"/>
    <x v="5"/>
    <n v="0"/>
    <n v="10538"/>
    <n v="7.4000000953674299"/>
    <n v="25"/>
    <n v="28"/>
    <n v="245"/>
    <n v="2380"/>
  </r>
  <r>
    <x v="5"/>
    <x v="20"/>
    <x v="6"/>
    <n v="1"/>
    <n v="10379"/>
    <n v="7.28999996185303"/>
    <n v="36"/>
    <n v="8"/>
    <n v="277"/>
    <n v="2473"/>
  </r>
  <r>
    <x v="5"/>
    <x v="21"/>
    <x v="0"/>
    <n v="2"/>
    <n v="12183"/>
    <n v="8.7399997711181605"/>
    <n v="72"/>
    <n v="14"/>
    <n v="250"/>
    <n v="2752"/>
  </r>
  <r>
    <x v="5"/>
    <x v="22"/>
    <x v="1"/>
    <n v="3"/>
    <n v="11768"/>
    <n v="8.2899999618530291"/>
    <n v="36"/>
    <n v="27"/>
    <n v="272"/>
    <n v="2649"/>
  </r>
  <r>
    <x v="5"/>
    <x v="23"/>
    <x v="2"/>
    <n v="4"/>
    <n v="11895"/>
    <n v="8.3500003814697301"/>
    <n v="55"/>
    <n v="20"/>
    <n v="253"/>
    <n v="2609"/>
  </r>
  <r>
    <x v="5"/>
    <x v="24"/>
    <x v="3"/>
    <n v="5"/>
    <n v="10227"/>
    <n v="7.1799998283386204"/>
    <n v="24"/>
    <n v="17"/>
    <n v="295"/>
    <n v="2498"/>
  </r>
  <r>
    <x v="5"/>
    <x v="25"/>
    <x v="4"/>
    <n v="6"/>
    <n v="6708"/>
    <n v="4.71000003814697"/>
    <n v="20"/>
    <n v="2"/>
    <n v="149"/>
    <n v="1995"/>
  </r>
  <r>
    <x v="5"/>
    <x v="26"/>
    <x v="5"/>
    <n v="0"/>
    <n v="3292"/>
    <n v="2.3099999427795401"/>
    <n v="0"/>
    <n v="0"/>
    <n v="135"/>
    <n v="1848"/>
  </r>
  <r>
    <x v="5"/>
    <x v="27"/>
    <x v="6"/>
    <n v="1"/>
    <n v="13379"/>
    <n v="9.3900003433227504"/>
    <n v="35"/>
    <n v="47"/>
    <n v="297"/>
    <n v="2709"/>
  </r>
  <r>
    <x v="5"/>
    <x v="28"/>
    <x v="0"/>
    <n v="2"/>
    <n v="12798"/>
    <n v="8.9799995422363299"/>
    <n v="57"/>
    <n v="28"/>
    <n v="271"/>
    <n v="2797"/>
  </r>
  <r>
    <x v="5"/>
    <x v="29"/>
    <x v="1"/>
    <n v="3"/>
    <n v="13272"/>
    <n v="9.3199996948242205"/>
    <n v="58"/>
    <n v="25"/>
    <n v="224"/>
    <n v="2544"/>
  </r>
  <r>
    <x v="5"/>
    <x v="30"/>
    <x v="2"/>
    <n v="4"/>
    <n v="9117"/>
    <n v="6.4099998474121103"/>
    <n v="16"/>
    <n v="16"/>
    <n v="236"/>
    <n v="1853"/>
  </r>
  <r>
    <x v="6"/>
    <x v="0"/>
    <x v="0"/>
    <n v="2"/>
    <n v="4414"/>
    <n v="2.7400000095367401"/>
    <n v="3"/>
    <n v="8"/>
    <n v="181"/>
    <n v="1459"/>
  </r>
  <r>
    <x v="6"/>
    <x v="1"/>
    <x v="1"/>
    <n v="3"/>
    <n v="4993"/>
    <n v="3.0999999046325701"/>
    <n v="0"/>
    <n v="0"/>
    <n v="238"/>
    <n v="1521"/>
  </r>
  <r>
    <x v="6"/>
    <x v="2"/>
    <x v="2"/>
    <n v="4"/>
    <n v="3335"/>
    <n v="2.0699999332428001"/>
    <n v="0"/>
    <n v="0"/>
    <n v="197"/>
    <n v="1431"/>
  </r>
  <r>
    <x v="6"/>
    <x v="3"/>
    <x v="3"/>
    <n v="5"/>
    <n v="3821"/>
    <n v="2.3699998855590798"/>
    <n v="0"/>
    <n v="0"/>
    <n v="188"/>
    <n v="1444"/>
  </r>
  <r>
    <x v="6"/>
    <x v="4"/>
    <x v="4"/>
    <n v="6"/>
    <n v="2547"/>
    <n v="1.58000004291534"/>
    <n v="0"/>
    <n v="0"/>
    <n v="150"/>
    <n v="1373"/>
  </r>
  <r>
    <x v="6"/>
    <x v="5"/>
    <x v="5"/>
    <n v="0"/>
    <n v="838"/>
    <n v="0.519999980926514"/>
    <n v="0"/>
    <n v="0"/>
    <n v="60"/>
    <n v="1214"/>
  </r>
  <r>
    <x v="6"/>
    <x v="6"/>
    <x v="6"/>
    <n v="1"/>
    <n v="3325"/>
    <n v="2.0599999427795401"/>
    <n v="0"/>
    <n v="0"/>
    <n v="182"/>
    <n v="1419"/>
  </r>
  <r>
    <x v="6"/>
    <x v="7"/>
    <x v="0"/>
    <n v="2"/>
    <n v="2424"/>
    <n v="1.5"/>
    <n v="0"/>
    <n v="0"/>
    <n v="141"/>
    <n v="1356"/>
  </r>
  <r>
    <x v="6"/>
    <x v="8"/>
    <x v="1"/>
    <n v="3"/>
    <n v="7222"/>
    <n v="4.4800000190734899"/>
    <n v="0"/>
    <n v="0"/>
    <n v="327"/>
    <n v="1667"/>
  </r>
  <r>
    <x v="6"/>
    <x v="9"/>
    <x v="2"/>
    <n v="4"/>
    <n v="2467"/>
    <n v="1.5299999713897701"/>
    <n v="0"/>
    <n v="0"/>
    <n v="153"/>
    <n v="1370"/>
  </r>
  <r>
    <x v="6"/>
    <x v="10"/>
    <x v="3"/>
    <n v="5"/>
    <n v="2915"/>
    <n v="1.8099999427795399"/>
    <n v="0"/>
    <n v="0"/>
    <n v="162"/>
    <n v="1399"/>
  </r>
  <r>
    <x v="6"/>
    <x v="11"/>
    <x v="4"/>
    <n v="6"/>
    <n v="12357"/>
    <n v="7.71000003814697"/>
    <n v="0"/>
    <n v="0"/>
    <n v="432"/>
    <n v="1916"/>
  </r>
  <r>
    <x v="6"/>
    <x v="12"/>
    <x v="5"/>
    <n v="0"/>
    <n v="3490"/>
    <n v="2.1600000858306898"/>
    <n v="0"/>
    <n v="0"/>
    <n v="164"/>
    <n v="1401"/>
  </r>
  <r>
    <x v="6"/>
    <x v="13"/>
    <x v="6"/>
    <n v="1"/>
    <n v="6017"/>
    <n v="3.7300000190734899"/>
    <n v="0"/>
    <n v="0"/>
    <n v="260"/>
    <n v="1576"/>
  </r>
  <r>
    <x v="6"/>
    <x v="14"/>
    <x v="0"/>
    <n v="2"/>
    <n v="5933"/>
    <n v="3.6800000667571999"/>
    <n v="0"/>
    <n v="0"/>
    <n v="288"/>
    <n v="1595"/>
  </r>
  <r>
    <x v="6"/>
    <x v="15"/>
    <x v="1"/>
    <n v="3"/>
    <n v="6088"/>
    <n v="3.7699999809265101"/>
    <n v="0"/>
    <n v="0"/>
    <n v="286"/>
    <n v="1593"/>
  </r>
  <r>
    <x v="6"/>
    <x v="16"/>
    <x v="2"/>
    <n v="4"/>
    <n v="6375"/>
    <n v="3.9500000476837198"/>
    <n v="0"/>
    <n v="0"/>
    <n v="331"/>
    <n v="1649"/>
  </r>
  <r>
    <x v="6"/>
    <x v="17"/>
    <x v="3"/>
    <n v="5"/>
    <n v="7604"/>
    <n v="4.71000003814697"/>
    <n v="0"/>
    <n v="0"/>
    <n v="352"/>
    <n v="1692"/>
  </r>
  <r>
    <x v="6"/>
    <x v="18"/>
    <x v="4"/>
    <n v="6"/>
    <n v="4729"/>
    <n v="2.9300000667571999"/>
    <n v="0"/>
    <n v="0"/>
    <n v="233"/>
    <n v="1506"/>
  </r>
  <r>
    <x v="6"/>
    <x v="19"/>
    <x v="5"/>
    <n v="0"/>
    <n v="3609"/>
    <n v="2.2799999713897701"/>
    <n v="0"/>
    <n v="0"/>
    <n v="191"/>
    <n v="1447"/>
  </r>
  <r>
    <x v="6"/>
    <x v="20"/>
    <x v="6"/>
    <n v="1"/>
    <n v="7018"/>
    <n v="4.3499999046325701"/>
    <n v="0"/>
    <n v="0"/>
    <n v="355"/>
    <n v="1690"/>
  </r>
  <r>
    <x v="6"/>
    <x v="21"/>
    <x v="0"/>
    <n v="2"/>
    <n v="5992"/>
    <n v="3.7200000286102299"/>
    <n v="0"/>
    <n v="0"/>
    <n v="304"/>
    <n v="1604"/>
  </r>
  <r>
    <x v="6"/>
    <x v="22"/>
    <x v="1"/>
    <n v="3"/>
    <n v="6564"/>
    <n v="4.0700001716613796"/>
    <n v="0"/>
    <n v="0"/>
    <n v="345"/>
    <n v="1658"/>
  </r>
  <r>
    <x v="6"/>
    <x v="23"/>
    <x v="2"/>
    <n v="4"/>
    <n v="12167"/>
    <n v="7.53999996185303"/>
    <n v="0"/>
    <n v="0"/>
    <n v="475"/>
    <n v="1926"/>
  </r>
  <r>
    <x v="6"/>
    <x v="24"/>
    <x v="3"/>
    <n v="5"/>
    <n v="8198"/>
    <n v="5.0799999237060502"/>
    <n v="0"/>
    <n v="0"/>
    <n v="383"/>
    <n v="1736"/>
  </r>
  <r>
    <x v="6"/>
    <x v="25"/>
    <x v="4"/>
    <n v="6"/>
    <n v="4193"/>
    <n v="2.5999999046325701"/>
    <n v="0"/>
    <n v="0"/>
    <n v="229"/>
    <n v="1491"/>
  </r>
  <r>
    <x v="6"/>
    <x v="26"/>
    <x v="5"/>
    <n v="0"/>
    <n v="5528"/>
    <n v="3.4500000476837198"/>
    <n v="0"/>
    <n v="0"/>
    <n v="258"/>
    <n v="1555"/>
  </r>
  <r>
    <x v="6"/>
    <x v="27"/>
    <x v="6"/>
    <n v="1"/>
    <n v="10685"/>
    <n v="6.6199998855590803"/>
    <n v="0"/>
    <n v="0"/>
    <n v="401"/>
    <n v="1869"/>
  </r>
  <r>
    <x v="6"/>
    <x v="28"/>
    <x v="0"/>
    <n v="2"/>
    <n v="254"/>
    <n v="0.15999999642372101"/>
    <n v="0"/>
    <n v="0"/>
    <n v="17"/>
    <n v="1141"/>
  </r>
  <r>
    <x v="6"/>
    <x v="29"/>
    <x v="1"/>
    <n v="3"/>
    <n v="8580"/>
    <n v="5.3200001716613796"/>
    <n v="0"/>
    <n v="0"/>
    <n v="330"/>
    <n v="1698"/>
  </r>
  <r>
    <x v="6"/>
    <x v="30"/>
    <x v="2"/>
    <n v="4"/>
    <n v="8891"/>
    <n v="5.5100002288818404"/>
    <n v="0"/>
    <n v="0"/>
    <n v="343"/>
    <n v="1364"/>
  </r>
  <r>
    <x v="7"/>
    <x v="0"/>
    <x v="0"/>
    <n v="2"/>
    <n v="10725"/>
    <n v="7.4899997711181596"/>
    <n v="13"/>
    <n v="9"/>
    <n v="306"/>
    <n v="2124"/>
  </r>
  <r>
    <x v="7"/>
    <x v="1"/>
    <x v="1"/>
    <n v="3"/>
    <n v="7275"/>
    <n v="4.9000000953674299"/>
    <n v="0"/>
    <n v="0"/>
    <n v="335"/>
    <n v="2003"/>
  </r>
  <r>
    <x v="7"/>
    <x v="2"/>
    <x v="2"/>
    <n v="4"/>
    <n v="3973"/>
    <n v="2.6800000667571999"/>
    <n v="0"/>
    <n v="0"/>
    <n v="191"/>
    <n v="1696"/>
  </r>
  <r>
    <x v="7"/>
    <x v="3"/>
    <x v="3"/>
    <n v="5"/>
    <n v="5205"/>
    <n v="3.5099999904632599"/>
    <n v="0"/>
    <n v="0"/>
    <n v="245"/>
    <n v="1801"/>
  </r>
  <r>
    <x v="7"/>
    <x v="4"/>
    <x v="4"/>
    <n v="6"/>
    <n v="5057"/>
    <n v="3.4100000858306898"/>
    <n v="0"/>
    <n v="0"/>
    <n v="195"/>
    <n v="1724"/>
  </r>
  <r>
    <x v="7"/>
    <x v="5"/>
    <x v="5"/>
    <n v="0"/>
    <n v="6198"/>
    <n v="4.1799998283386204"/>
    <n v="0"/>
    <n v="0"/>
    <n v="249"/>
    <n v="1852"/>
  </r>
  <r>
    <x v="7"/>
    <x v="6"/>
    <x v="6"/>
    <n v="1"/>
    <n v="6559"/>
    <n v="4.4200000762939498"/>
    <n v="0"/>
    <n v="7"/>
    <n v="260"/>
    <n v="1905"/>
  </r>
  <r>
    <x v="7"/>
    <x v="7"/>
    <x v="0"/>
    <n v="2"/>
    <n v="5997"/>
    <n v="4.03999996185303"/>
    <n v="0"/>
    <n v="11"/>
    <n v="228"/>
    <n v="1811"/>
  </r>
  <r>
    <x v="7"/>
    <x v="8"/>
    <x v="1"/>
    <n v="3"/>
    <n v="7192"/>
    <n v="4.8499999046325701"/>
    <n v="0"/>
    <n v="11"/>
    <n v="283"/>
    <n v="1922"/>
  </r>
  <r>
    <x v="7"/>
    <x v="9"/>
    <x v="2"/>
    <n v="4"/>
    <n v="3404"/>
    <n v="2.28999996185303"/>
    <n v="1"/>
    <n v="10"/>
    <n v="127"/>
    <n v="1610"/>
  </r>
  <r>
    <x v="7"/>
    <x v="10"/>
    <x v="3"/>
    <n v="5"/>
    <n v="5583"/>
    <n v="3.7599999904632599"/>
    <n v="0"/>
    <n v="0"/>
    <n v="266"/>
    <n v="1851"/>
  </r>
  <r>
    <x v="7"/>
    <x v="11"/>
    <x v="4"/>
    <n v="6"/>
    <n v="5079"/>
    <n v="3.4200000762939502"/>
    <n v="0"/>
    <n v="0"/>
    <n v="242"/>
    <n v="1804"/>
  </r>
  <r>
    <x v="7"/>
    <x v="12"/>
    <x v="5"/>
    <n v="0"/>
    <n v="4165"/>
    <n v="2.8099999427795401"/>
    <n v="0"/>
    <n v="0"/>
    <n v="204"/>
    <n v="1725"/>
  </r>
  <r>
    <x v="7"/>
    <x v="13"/>
    <x v="6"/>
    <n v="1"/>
    <n v="3588"/>
    <n v="2.4200000762939502"/>
    <n v="3"/>
    <n v="5"/>
    <n v="152"/>
    <n v="1654"/>
  </r>
  <r>
    <x v="7"/>
    <x v="14"/>
    <x v="0"/>
    <n v="2"/>
    <n v="3409"/>
    <n v="2.2999999523162802"/>
    <n v="0"/>
    <n v="0"/>
    <n v="147"/>
    <n v="1632"/>
  </r>
  <r>
    <x v="7"/>
    <x v="15"/>
    <x v="1"/>
    <n v="3"/>
    <n v="1715"/>
    <n v="1.1599999666214"/>
    <n v="0"/>
    <n v="0"/>
    <n v="82"/>
    <n v="1481"/>
  </r>
  <r>
    <x v="7"/>
    <x v="16"/>
    <x v="2"/>
    <n v="4"/>
    <n v="1532"/>
    <n v="1.0299999713897701"/>
    <n v="0"/>
    <n v="0"/>
    <n v="76"/>
    <n v="1473"/>
  </r>
  <r>
    <x v="7"/>
    <x v="17"/>
    <x v="3"/>
    <n v="5"/>
    <n v="924"/>
    <n v="0.62000000476837203"/>
    <n v="0"/>
    <n v="0"/>
    <n v="45"/>
    <n v="1410"/>
  </r>
  <r>
    <x v="7"/>
    <x v="18"/>
    <x v="4"/>
    <n v="6"/>
    <n v="4571"/>
    <n v="3.0799999237060498"/>
    <n v="0"/>
    <n v="0"/>
    <n v="234"/>
    <n v="1779"/>
  </r>
  <r>
    <x v="7"/>
    <x v="19"/>
    <x v="5"/>
    <n v="0"/>
    <n v="772"/>
    <n v="0.519999980926514"/>
    <n v="0"/>
    <n v="0"/>
    <n v="40"/>
    <n v="1403"/>
  </r>
  <r>
    <x v="7"/>
    <x v="20"/>
    <x v="6"/>
    <n v="1"/>
    <n v="3634"/>
    <n v="2.4500000476837198"/>
    <n v="5"/>
    <n v="6"/>
    <n v="123"/>
    <n v="1613"/>
  </r>
  <r>
    <x v="7"/>
    <x v="21"/>
    <x v="0"/>
    <n v="2"/>
    <n v="7443"/>
    <n v="5.0199999809265101"/>
    <n v="20"/>
    <n v="10"/>
    <n v="206"/>
    <n v="1878"/>
  </r>
  <r>
    <x v="7"/>
    <x v="22"/>
    <x v="1"/>
    <n v="3"/>
    <n v="1201"/>
    <n v="0.81000000238418601"/>
    <n v="0"/>
    <n v="0"/>
    <n v="52"/>
    <n v="1426"/>
  </r>
  <r>
    <x v="7"/>
    <x v="23"/>
    <x v="2"/>
    <n v="4"/>
    <n v="5202"/>
    <n v="3.5099999904632599"/>
    <n v="0"/>
    <n v="11"/>
    <n v="223"/>
    <n v="1780"/>
  </r>
  <r>
    <x v="7"/>
    <x v="24"/>
    <x v="3"/>
    <n v="5"/>
    <n v="4878"/>
    <n v="3.28999996185303"/>
    <n v="0"/>
    <n v="0"/>
    <n v="204"/>
    <n v="1742"/>
  </r>
  <r>
    <x v="7"/>
    <x v="25"/>
    <x v="4"/>
    <n v="6"/>
    <n v="7379"/>
    <n v="4.9699997901916504"/>
    <n v="0"/>
    <n v="0"/>
    <n v="319"/>
    <n v="1972"/>
  </r>
  <r>
    <x v="7"/>
    <x v="26"/>
    <x v="5"/>
    <n v="0"/>
    <n v="5161"/>
    <n v="3.4800000190734899"/>
    <n v="0"/>
    <n v="0"/>
    <n v="247"/>
    <n v="1821"/>
  </r>
  <r>
    <x v="7"/>
    <x v="27"/>
    <x v="6"/>
    <n v="1"/>
    <n v="3090"/>
    <n v="2.0799999237060498"/>
    <n v="0"/>
    <n v="0"/>
    <n v="145"/>
    <n v="1630"/>
  </r>
  <r>
    <x v="7"/>
    <x v="28"/>
    <x v="0"/>
    <n v="2"/>
    <n v="6227"/>
    <n v="4.1999998092651403"/>
    <n v="0"/>
    <n v="0"/>
    <n v="290"/>
    <n v="1899"/>
  </r>
  <r>
    <x v="7"/>
    <x v="29"/>
    <x v="1"/>
    <n v="3"/>
    <n v="6424"/>
    <n v="4.3299999237060502"/>
    <n v="0"/>
    <n v="0"/>
    <n v="300"/>
    <n v="1903"/>
  </r>
  <r>
    <x v="7"/>
    <x v="30"/>
    <x v="2"/>
    <n v="4"/>
    <n v="2661"/>
    <n v="1.78999996185303"/>
    <n v="0"/>
    <n v="0"/>
    <n v="128"/>
    <n v="1125"/>
  </r>
  <r>
    <x v="8"/>
    <x v="0"/>
    <x v="0"/>
    <n v="2"/>
    <n v="10113"/>
    <n v="6.8299999237060502"/>
    <n v="28"/>
    <n v="13"/>
    <n v="320"/>
    <n v="2344"/>
  </r>
  <r>
    <x v="8"/>
    <x v="1"/>
    <x v="1"/>
    <n v="3"/>
    <n v="10352"/>
    <n v="7.0100002288818404"/>
    <n v="19"/>
    <n v="32"/>
    <n v="195"/>
    <n v="2038"/>
  </r>
  <r>
    <x v="8"/>
    <x v="2"/>
    <x v="2"/>
    <n v="4"/>
    <n v="10129"/>
    <n v="6.6999998092651403"/>
    <n v="1"/>
    <n v="48"/>
    <n v="206"/>
    <n v="2010"/>
  </r>
  <r>
    <x v="8"/>
    <x v="3"/>
    <x v="3"/>
    <n v="5"/>
    <n v="10465"/>
    <n v="6.9200000762939498"/>
    <n v="1"/>
    <n v="24"/>
    <n v="284"/>
    <n v="2133"/>
  </r>
  <r>
    <x v="8"/>
    <x v="4"/>
    <x v="4"/>
    <n v="6"/>
    <n v="22244"/>
    <n v="15.079999923706101"/>
    <n v="66"/>
    <n v="72"/>
    <n v="268"/>
    <n v="2670"/>
  </r>
  <r>
    <x v="8"/>
    <x v="5"/>
    <x v="5"/>
    <n v="0"/>
    <n v="5472"/>
    <n v="3.6199998855590798"/>
    <n v="1"/>
    <n v="7"/>
    <n v="249"/>
    <n v="1882"/>
  </r>
  <r>
    <x v="8"/>
    <x v="6"/>
    <x v="6"/>
    <n v="1"/>
    <n v="8247"/>
    <n v="5.4499998092651403"/>
    <n v="11"/>
    <n v="16"/>
    <n v="206"/>
    <n v="1944"/>
  </r>
  <r>
    <x v="8"/>
    <x v="7"/>
    <x v="0"/>
    <n v="2"/>
    <n v="6711"/>
    <n v="4.4400000572204599"/>
    <n v="0"/>
    <n v="7"/>
    <n v="382"/>
    <n v="2346"/>
  </r>
  <r>
    <x v="8"/>
    <x v="8"/>
    <x v="1"/>
    <n v="3"/>
    <n v="10999"/>
    <n v="7.2699999809265101"/>
    <n v="11"/>
    <n v="43"/>
    <n v="269"/>
    <n v="2198"/>
  </r>
  <r>
    <x v="8"/>
    <x v="9"/>
    <x v="2"/>
    <n v="4"/>
    <n v="10080"/>
    <n v="6.75"/>
    <n v="23"/>
    <n v="26"/>
    <n v="208"/>
    <n v="2048"/>
  </r>
  <r>
    <x v="8"/>
    <x v="10"/>
    <x v="3"/>
    <n v="5"/>
    <n v="7804"/>
    <n v="5.1599998474121103"/>
    <n v="9"/>
    <n v="27"/>
    <n v="206"/>
    <n v="1946"/>
  </r>
  <r>
    <x v="8"/>
    <x v="11"/>
    <x v="4"/>
    <n v="6"/>
    <n v="16901"/>
    <n v="11.3699998855591"/>
    <n v="32"/>
    <n v="35"/>
    <n v="360"/>
    <n v="2629"/>
  </r>
  <r>
    <x v="8"/>
    <x v="12"/>
    <x v="5"/>
    <n v="0"/>
    <n v="9471"/>
    <n v="6.2600002288818404"/>
    <n v="0"/>
    <n v="0"/>
    <n v="360"/>
    <n v="2187"/>
  </r>
  <r>
    <x v="8"/>
    <x v="13"/>
    <x v="6"/>
    <n v="1"/>
    <n v="9482"/>
    <n v="6.3800001144409197"/>
    <n v="15"/>
    <n v="11"/>
    <n v="277"/>
    <n v="2095"/>
  </r>
  <r>
    <x v="8"/>
    <x v="14"/>
    <x v="0"/>
    <n v="2"/>
    <n v="5980"/>
    <n v="3.9500000476837198"/>
    <n v="0"/>
    <n v="0"/>
    <n v="227"/>
    <n v="1861"/>
  </r>
  <r>
    <x v="8"/>
    <x v="15"/>
    <x v="1"/>
    <n v="3"/>
    <n v="11423"/>
    <n v="7.5799999237060502"/>
    <n v="26"/>
    <n v="9"/>
    <n v="295"/>
    <n v="2194"/>
  </r>
  <r>
    <x v="8"/>
    <x v="16"/>
    <x v="2"/>
    <n v="4"/>
    <n v="5439"/>
    <n v="3.5999999046325701"/>
    <n v="0"/>
    <n v="0"/>
    <n v="229"/>
    <n v="1854"/>
  </r>
  <r>
    <x v="8"/>
    <x v="17"/>
    <x v="3"/>
    <n v="5"/>
    <n v="42"/>
    <n v="2.9999999329447701E-2"/>
    <n v="0"/>
    <n v="0"/>
    <n v="4"/>
    <n v="403"/>
  </r>
  <r>
    <x v="9"/>
    <x v="0"/>
    <x v="0"/>
    <n v="2"/>
    <n v="8796"/>
    <n v="5.9099998474121103"/>
    <n v="2"/>
    <n v="21"/>
    <n v="356"/>
    <n v="1982"/>
  </r>
  <r>
    <x v="9"/>
    <x v="1"/>
    <x v="1"/>
    <n v="3"/>
    <n v="7618"/>
    <n v="5.1199998855590803"/>
    <n v="0"/>
    <n v="8"/>
    <n v="404"/>
    <n v="2004"/>
  </r>
  <r>
    <x v="9"/>
    <x v="2"/>
    <x v="2"/>
    <n v="4"/>
    <n v="7910"/>
    <n v="5.3200001716613796"/>
    <n v="0"/>
    <n v="0"/>
    <n v="331"/>
    <n v="1893"/>
  </r>
  <r>
    <x v="9"/>
    <x v="3"/>
    <x v="3"/>
    <n v="5"/>
    <n v="8482"/>
    <n v="5.6999998092651403"/>
    <n v="0"/>
    <n v="0"/>
    <n v="448"/>
    <n v="2063"/>
  </r>
  <r>
    <x v="9"/>
    <x v="4"/>
    <x v="4"/>
    <n v="6"/>
    <n v="9685"/>
    <n v="6.6500000953674299"/>
    <n v="47"/>
    <n v="1"/>
    <n v="305"/>
    <n v="2148"/>
  </r>
  <r>
    <x v="9"/>
    <x v="5"/>
    <x v="5"/>
    <n v="0"/>
    <n v="2524"/>
    <n v="1.70000004768372"/>
    <n v="0"/>
    <n v="8"/>
    <n v="160"/>
    <n v="1529"/>
  </r>
  <r>
    <x v="9"/>
    <x v="6"/>
    <x v="6"/>
    <n v="1"/>
    <n v="7762"/>
    <n v="5.2399997711181596"/>
    <n v="1"/>
    <n v="6"/>
    <n v="311"/>
    <n v="1890"/>
  </r>
  <r>
    <x v="9"/>
    <x v="7"/>
    <x v="0"/>
    <n v="2"/>
    <n v="7948"/>
    <n v="5.3699998855590803"/>
    <n v="0"/>
    <n v="0"/>
    <n v="389"/>
    <n v="1956"/>
  </r>
  <r>
    <x v="9"/>
    <x v="8"/>
    <x v="1"/>
    <n v="3"/>
    <n v="9202"/>
    <n v="6.3000001907348597"/>
    <n v="22"/>
    <n v="5"/>
    <n v="378"/>
    <n v="2094"/>
  </r>
  <r>
    <x v="9"/>
    <x v="9"/>
    <x v="2"/>
    <n v="4"/>
    <n v="8859"/>
    <n v="5.9800000190734899"/>
    <n v="2"/>
    <n v="10"/>
    <n v="371"/>
    <n v="1970"/>
  </r>
  <r>
    <x v="9"/>
    <x v="10"/>
    <x v="3"/>
    <n v="5"/>
    <n v="7286"/>
    <n v="4.9000000953674299"/>
    <n v="46"/>
    <n v="0"/>
    <n v="366"/>
    <n v="2241"/>
  </r>
  <r>
    <x v="9"/>
    <x v="11"/>
    <x v="4"/>
    <n v="6"/>
    <n v="9317"/>
    <n v="6.3499999046325701"/>
    <n v="28"/>
    <n v="5"/>
    <n v="330"/>
    <n v="2021"/>
  </r>
  <r>
    <x v="9"/>
    <x v="12"/>
    <x v="5"/>
    <n v="0"/>
    <n v="6873"/>
    <n v="4.6799998283386204"/>
    <n v="46"/>
    <n v="1"/>
    <n v="190"/>
    <n v="1898"/>
  </r>
  <r>
    <x v="9"/>
    <x v="13"/>
    <x v="6"/>
    <n v="1"/>
    <n v="7373"/>
    <n v="4.9499998092651403"/>
    <n v="0"/>
    <n v="0"/>
    <n v="359"/>
    <n v="1907"/>
  </r>
  <r>
    <x v="9"/>
    <x v="14"/>
    <x v="0"/>
    <n v="2"/>
    <n v="8242"/>
    <n v="5.53999996185303"/>
    <n v="2"/>
    <n v="5"/>
    <n v="309"/>
    <n v="1882"/>
  </r>
  <r>
    <x v="9"/>
    <x v="15"/>
    <x v="1"/>
    <n v="3"/>
    <n v="3516"/>
    <n v="2.3599998950958301"/>
    <n v="46"/>
    <n v="0"/>
    <n v="197"/>
    <n v="1966"/>
  </r>
  <r>
    <x v="9"/>
    <x v="16"/>
    <x v="2"/>
    <n v="4"/>
    <n v="7913"/>
    <n v="5.4099998474121103"/>
    <n v="28"/>
    <n v="7"/>
    <n v="213"/>
    <n v="1835"/>
  </r>
  <r>
    <x v="9"/>
    <x v="17"/>
    <x v="3"/>
    <n v="5"/>
    <n v="7365"/>
    <n v="4.9499998092651403"/>
    <n v="20"/>
    <n v="23"/>
    <n v="206"/>
    <n v="1780"/>
  </r>
  <r>
    <x v="9"/>
    <x v="18"/>
    <x v="4"/>
    <n v="6"/>
    <n v="8452"/>
    <n v="5.6799998283386204"/>
    <n v="5"/>
    <n v="20"/>
    <n v="248"/>
    <n v="1830"/>
  </r>
  <r>
    <x v="9"/>
    <x v="19"/>
    <x v="5"/>
    <n v="0"/>
    <n v="7399"/>
    <n v="4.9699997901916504"/>
    <n v="7"/>
    <n v="18"/>
    <n v="196"/>
    <n v="1739"/>
  </r>
  <r>
    <x v="9"/>
    <x v="20"/>
    <x v="6"/>
    <n v="1"/>
    <n v="7525"/>
    <n v="5.0599999427795401"/>
    <n v="0"/>
    <n v="7"/>
    <n v="334"/>
    <n v="1878"/>
  </r>
  <r>
    <x v="9"/>
    <x v="21"/>
    <x v="0"/>
    <n v="2"/>
    <n v="7412"/>
    <n v="4.9800000190734899"/>
    <n v="1"/>
    <n v="6"/>
    <n v="363"/>
    <n v="1906"/>
  </r>
  <r>
    <x v="9"/>
    <x v="22"/>
    <x v="1"/>
    <n v="3"/>
    <n v="8278"/>
    <n v="5.5599999427795401"/>
    <n v="0"/>
    <n v="0"/>
    <n v="420"/>
    <n v="2015"/>
  </r>
  <r>
    <x v="9"/>
    <x v="23"/>
    <x v="2"/>
    <n v="4"/>
    <n v="8314"/>
    <n v="5.6100001335143999"/>
    <n v="13"/>
    <n v="23"/>
    <n v="311"/>
    <n v="1971"/>
  </r>
  <r>
    <x v="9"/>
    <x v="24"/>
    <x v="3"/>
    <n v="5"/>
    <n v="7063"/>
    <n v="4.75"/>
    <n v="0"/>
    <n v="5"/>
    <n v="370"/>
    <n v="1910"/>
  </r>
  <r>
    <x v="9"/>
    <x v="25"/>
    <x v="4"/>
    <n v="6"/>
    <n v="4940"/>
    <n v="3.3800001144409202"/>
    <n v="75"/>
    <n v="11"/>
    <n v="52"/>
    <n v="1897"/>
  </r>
  <r>
    <x v="9"/>
    <x v="26"/>
    <x v="5"/>
    <n v="0"/>
    <n v="8168"/>
    <n v="5.53999996185303"/>
    <n v="46"/>
    <n v="0"/>
    <n v="326"/>
    <n v="2096"/>
  </r>
  <r>
    <x v="9"/>
    <x v="27"/>
    <x v="6"/>
    <n v="1"/>
    <n v="7726"/>
    <n v="5.1900000572204599"/>
    <n v="0"/>
    <n v="0"/>
    <n v="345"/>
    <n v="1906"/>
  </r>
  <r>
    <x v="9"/>
    <x v="28"/>
    <x v="0"/>
    <n v="2"/>
    <n v="8275"/>
    <n v="5.5599999427795401"/>
    <n v="0"/>
    <n v="0"/>
    <n v="373"/>
    <n v="1962"/>
  </r>
  <r>
    <x v="9"/>
    <x v="29"/>
    <x v="1"/>
    <n v="3"/>
    <n v="6440"/>
    <n v="4.3299999237060502"/>
    <n v="0"/>
    <n v="0"/>
    <n v="319"/>
    <n v="1826"/>
  </r>
  <r>
    <x v="9"/>
    <x v="30"/>
    <x v="2"/>
    <n v="4"/>
    <n v="7566"/>
    <n v="5.1100001335143999"/>
    <n v="0"/>
    <n v="0"/>
    <n v="268"/>
    <n v="1431"/>
  </r>
  <r>
    <x v="10"/>
    <x v="0"/>
    <x v="0"/>
    <n v="2"/>
    <n v="4747"/>
    <n v="3.2400000095367401"/>
    <n v="0"/>
    <n v="0"/>
    <n v="280"/>
    <n v="1788"/>
  </r>
  <r>
    <x v="10"/>
    <x v="1"/>
    <x v="1"/>
    <n v="3"/>
    <n v="9715"/>
    <n v="6.6300001144409197"/>
    <n v="16"/>
    <n v="8"/>
    <n v="371"/>
    <n v="2093"/>
  </r>
  <r>
    <x v="10"/>
    <x v="2"/>
    <x v="2"/>
    <n v="4"/>
    <n v="8844"/>
    <n v="6.0300002098083496"/>
    <n v="6"/>
    <n v="25"/>
    <n v="370"/>
    <n v="2065"/>
  </r>
  <r>
    <x v="10"/>
    <x v="3"/>
    <x v="3"/>
    <n v="5"/>
    <n v="7451"/>
    <n v="5.0799999237060502"/>
    <n v="0"/>
    <n v="0"/>
    <n v="335"/>
    <n v="1908"/>
  </r>
  <r>
    <x v="10"/>
    <x v="4"/>
    <x v="4"/>
    <n v="6"/>
    <n v="6905"/>
    <n v="4.7300000190734899"/>
    <n v="0"/>
    <n v="0"/>
    <n v="356"/>
    <n v="1908"/>
  </r>
  <r>
    <x v="10"/>
    <x v="5"/>
    <x v="5"/>
    <n v="0"/>
    <n v="8199"/>
    <n v="5.8800001144409197"/>
    <n v="11"/>
    <n v="2"/>
    <n v="322"/>
    <n v="1964"/>
  </r>
  <r>
    <x v="10"/>
    <x v="6"/>
    <x v="6"/>
    <n v="1"/>
    <n v="6798"/>
    <n v="4.6399998664856001"/>
    <n v="20"/>
    <n v="7"/>
    <n v="343"/>
    <n v="2014"/>
  </r>
  <r>
    <x v="10"/>
    <x v="7"/>
    <x v="0"/>
    <n v="2"/>
    <n v="7711"/>
    <n v="5.2600002288818404"/>
    <n v="0"/>
    <n v="0"/>
    <n v="376"/>
    <n v="1985"/>
  </r>
  <r>
    <x v="10"/>
    <x v="8"/>
    <x v="1"/>
    <n v="3"/>
    <n v="4880"/>
    <n v="3.3299999237060498"/>
    <n v="15"/>
    <n v="3"/>
    <n v="274"/>
    <n v="1867"/>
  </r>
  <r>
    <x v="10"/>
    <x v="9"/>
    <x v="2"/>
    <n v="4"/>
    <n v="8857"/>
    <n v="6.0700001716613796"/>
    <n v="18"/>
    <n v="9"/>
    <n v="376"/>
    <n v="2124"/>
  </r>
  <r>
    <x v="10"/>
    <x v="10"/>
    <x v="3"/>
    <n v="5"/>
    <n v="3843"/>
    <n v="2.6199998855590798"/>
    <n v="0"/>
    <n v="0"/>
    <n v="206"/>
    <n v="1669"/>
  </r>
  <r>
    <x v="10"/>
    <x v="11"/>
    <x v="4"/>
    <n v="6"/>
    <n v="7396"/>
    <n v="5.0700001716613796"/>
    <n v="20"/>
    <n v="2"/>
    <n v="303"/>
    <n v="1995"/>
  </r>
  <r>
    <x v="10"/>
    <x v="12"/>
    <x v="5"/>
    <n v="0"/>
    <n v="6731"/>
    <n v="4.5900001525878897"/>
    <n v="14"/>
    <n v="7"/>
    <n v="292"/>
    <n v="1921"/>
  </r>
  <r>
    <x v="10"/>
    <x v="13"/>
    <x v="6"/>
    <n v="1"/>
    <n v="5995"/>
    <n v="4.0900001525878897"/>
    <n v="0"/>
    <n v="0"/>
    <n v="416"/>
    <n v="2010"/>
  </r>
  <r>
    <x v="10"/>
    <x v="14"/>
    <x v="0"/>
    <n v="2"/>
    <n v="8283"/>
    <n v="5.78999996185303"/>
    <n v="22"/>
    <n v="2"/>
    <n v="333"/>
    <n v="2057"/>
  </r>
  <r>
    <x v="10"/>
    <x v="15"/>
    <x v="1"/>
    <n v="3"/>
    <n v="7904"/>
    <n v="5.4200000762939498"/>
    <n v="24"/>
    <n v="13"/>
    <n v="346"/>
    <n v="2095"/>
  </r>
  <r>
    <x v="10"/>
    <x v="16"/>
    <x v="2"/>
    <n v="4"/>
    <n v="5512"/>
    <n v="3.7599999904632599"/>
    <n v="0"/>
    <n v="0"/>
    <n v="385"/>
    <n v="1972"/>
  </r>
  <r>
    <x v="10"/>
    <x v="17"/>
    <x v="3"/>
    <n v="5"/>
    <n v="9135"/>
    <n v="6.2300000190734899"/>
    <n v="0"/>
    <n v="0"/>
    <n v="402"/>
    <n v="2044"/>
  </r>
  <r>
    <x v="10"/>
    <x v="18"/>
    <x v="4"/>
    <n v="6"/>
    <n v="5250"/>
    <n v="3.5799999237060498"/>
    <n v="17"/>
    <n v="4"/>
    <n v="300"/>
    <n v="1946"/>
  </r>
  <r>
    <x v="10"/>
    <x v="19"/>
    <x v="5"/>
    <n v="0"/>
    <n v="3077"/>
    <n v="2.0999999046325701"/>
    <n v="0"/>
    <n v="0"/>
    <n v="172"/>
    <n v="1237"/>
  </r>
  <r>
    <x v="11"/>
    <x v="0"/>
    <x v="0"/>
    <n v="2"/>
    <n v="8856"/>
    <n v="5.9800000190734899"/>
    <n v="44"/>
    <n v="19"/>
    <n v="131"/>
    <n v="1450"/>
  </r>
  <r>
    <x v="11"/>
    <x v="1"/>
    <x v="1"/>
    <n v="3"/>
    <n v="10035"/>
    <n v="6.71000003814697"/>
    <n v="31"/>
    <n v="46"/>
    <n v="153"/>
    <n v="1495"/>
  </r>
  <r>
    <x v="11"/>
    <x v="2"/>
    <x v="2"/>
    <n v="4"/>
    <n v="7641"/>
    <n v="5.1100001335143999"/>
    <n v="5"/>
    <n v="23"/>
    <n v="214"/>
    <n v="1433"/>
  </r>
  <r>
    <x v="11"/>
    <x v="3"/>
    <x v="3"/>
    <n v="5"/>
    <n v="9010"/>
    <n v="6.0599999427795401"/>
    <n v="15"/>
    <n v="42"/>
    <n v="183"/>
    <n v="1468"/>
  </r>
  <r>
    <x v="11"/>
    <x v="4"/>
    <x v="4"/>
    <n v="6"/>
    <n v="13459"/>
    <n v="9"/>
    <n v="31"/>
    <n v="83"/>
    <n v="153"/>
    <n v="1625"/>
  </r>
  <r>
    <x v="11"/>
    <x v="5"/>
    <x v="5"/>
    <n v="0"/>
    <n v="10415"/>
    <n v="6.9699997901916504"/>
    <n v="11"/>
    <n v="58"/>
    <n v="205"/>
    <n v="1529"/>
  </r>
  <r>
    <x v="11"/>
    <x v="6"/>
    <x v="6"/>
    <n v="1"/>
    <n v="11663"/>
    <n v="7.8000001907348597"/>
    <n v="4"/>
    <n v="95"/>
    <n v="214"/>
    <n v="1584"/>
  </r>
  <r>
    <x v="11"/>
    <x v="7"/>
    <x v="0"/>
    <n v="2"/>
    <n v="12414"/>
    <n v="8.7799997329711896"/>
    <n v="19"/>
    <n v="67"/>
    <n v="221"/>
    <n v="1638"/>
  </r>
  <r>
    <x v="11"/>
    <x v="8"/>
    <x v="1"/>
    <n v="3"/>
    <n v="11658"/>
    <n v="7.8299999237060502"/>
    <n v="2"/>
    <n v="98"/>
    <n v="164"/>
    <n v="1554"/>
  </r>
  <r>
    <x v="11"/>
    <x v="9"/>
    <x v="2"/>
    <n v="4"/>
    <n v="6093"/>
    <n v="4.0799999237060502"/>
    <n v="0"/>
    <n v="0"/>
    <n v="242"/>
    <n v="1397"/>
  </r>
  <r>
    <x v="11"/>
    <x v="10"/>
    <x v="3"/>
    <n v="5"/>
    <n v="8911"/>
    <n v="5.96000003814697"/>
    <n v="33"/>
    <n v="12"/>
    <n v="188"/>
    <n v="1481"/>
  </r>
  <r>
    <x v="11"/>
    <x v="11"/>
    <x v="4"/>
    <n v="6"/>
    <n v="12058"/>
    <n v="8.0699996948242205"/>
    <n v="0"/>
    <n v="92"/>
    <n v="252"/>
    <n v="1638"/>
  </r>
  <r>
    <x v="11"/>
    <x v="12"/>
    <x v="5"/>
    <n v="0"/>
    <n v="14112"/>
    <n v="10"/>
    <n v="30"/>
    <n v="95"/>
    <n v="129"/>
    <n v="1655"/>
  </r>
  <r>
    <x v="11"/>
    <x v="13"/>
    <x v="6"/>
    <n v="1"/>
    <n v="11177"/>
    <n v="8.4799995422363299"/>
    <n v="50"/>
    <n v="9"/>
    <n v="133"/>
    <n v="1570"/>
  </r>
  <r>
    <x v="11"/>
    <x v="14"/>
    <x v="0"/>
    <n v="2"/>
    <n v="11388"/>
    <n v="7.6199998855590803"/>
    <n v="7"/>
    <n v="95"/>
    <n v="170"/>
    <n v="1551"/>
  </r>
  <r>
    <x v="11"/>
    <x v="15"/>
    <x v="1"/>
    <n v="3"/>
    <n v="7193"/>
    <n v="5.03999996185303"/>
    <n v="0"/>
    <n v="10"/>
    <n v="176"/>
    <n v="1377"/>
  </r>
  <r>
    <x v="11"/>
    <x v="16"/>
    <x v="2"/>
    <n v="4"/>
    <n v="7114"/>
    <n v="4.8800001144409197"/>
    <n v="15"/>
    <n v="8"/>
    <n v="190"/>
    <n v="1407"/>
  </r>
  <r>
    <x v="11"/>
    <x v="17"/>
    <x v="3"/>
    <n v="5"/>
    <n v="10645"/>
    <n v="7.75"/>
    <n v="36"/>
    <n v="32"/>
    <n v="150"/>
    <n v="1545"/>
  </r>
  <r>
    <x v="11"/>
    <x v="18"/>
    <x v="4"/>
    <n v="6"/>
    <n v="13238"/>
    <n v="9.1999998092651403"/>
    <n v="43"/>
    <n v="52"/>
    <n v="194"/>
    <n v="1650"/>
  </r>
  <r>
    <x v="11"/>
    <x v="19"/>
    <x v="5"/>
    <n v="0"/>
    <n v="10414"/>
    <n v="7.0700001716613796"/>
    <n v="41"/>
    <n v="40"/>
    <n v="124"/>
    <n v="1501"/>
  </r>
  <r>
    <x v="11"/>
    <x v="20"/>
    <x v="6"/>
    <n v="1"/>
    <n v="16520"/>
    <n v="11.050000190734901"/>
    <n v="24"/>
    <n v="143"/>
    <n v="176"/>
    <n v="1760"/>
  </r>
  <r>
    <x v="11"/>
    <x v="21"/>
    <x v="0"/>
    <n v="2"/>
    <n v="14335"/>
    <n v="9.5900001525878906"/>
    <n v="47"/>
    <n v="41"/>
    <n v="258"/>
    <n v="1710"/>
  </r>
  <r>
    <x v="11"/>
    <x v="22"/>
    <x v="1"/>
    <n v="3"/>
    <n v="13559"/>
    <n v="9.4399995803833008"/>
    <n v="14"/>
    <n v="96"/>
    <n v="142"/>
    <n v="1628"/>
  </r>
  <r>
    <x v="11"/>
    <x v="23"/>
    <x v="2"/>
    <n v="4"/>
    <n v="12312"/>
    <n v="8.5799999237060494"/>
    <n v="14"/>
    <n v="88"/>
    <n v="178"/>
    <n v="1618"/>
  </r>
  <r>
    <x v="11"/>
    <x v="24"/>
    <x v="3"/>
    <n v="5"/>
    <n v="11677"/>
    <n v="8.2799997329711896"/>
    <n v="29"/>
    <n v="55"/>
    <n v="168"/>
    <n v="1590"/>
  </r>
  <r>
    <x v="11"/>
    <x v="25"/>
    <x v="4"/>
    <n v="6"/>
    <n v="11550"/>
    <n v="7.7300000190734899"/>
    <n v="0"/>
    <n v="86"/>
    <n v="208"/>
    <n v="1574"/>
  </r>
  <r>
    <x v="11"/>
    <x v="26"/>
    <x v="5"/>
    <n v="0"/>
    <n v="13585"/>
    <n v="9.0900001525878906"/>
    <n v="9"/>
    <n v="116"/>
    <n v="171"/>
    <n v="1633"/>
  </r>
  <r>
    <x v="11"/>
    <x v="27"/>
    <x v="6"/>
    <n v="1"/>
    <n v="14687"/>
    <n v="10.079999923706101"/>
    <n v="8"/>
    <n v="122"/>
    <n v="151"/>
    <n v="1667"/>
  </r>
  <r>
    <x v="11"/>
    <x v="28"/>
    <x v="0"/>
    <n v="2"/>
    <n v="13072"/>
    <n v="8.7799997329711896"/>
    <n v="1"/>
    <n v="115"/>
    <n v="196"/>
    <n v="1630"/>
  </r>
  <r>
    <x v="11"/>
    <x v="29"/>
    <x v="1"/>
    <n v="3"/>
    <n v="746"/>
    <n v="0.5"/>
    <n v="4"/>
    <n v="0"/>
    <n v="9"/>
    <n v="52"/>
  </r>
  <r>
    <x v="12"/>
    <x v="0"/>
    <x v="0"/>
    <n v="2"/>
    <n v="8539"/>
    <n v="6.1199998855590803"/>
    <n v="4"/>
    <n v="15"/>
    <n v="331"/>
    <n v="3654"/>
  </r>
  <r>
    <x v="12"/>
    <x v="1"/>
    <x v="1"/>
    <n v="3"/>
    <n v="0"/>
    <n v="0"/>
    <n v="0"/>
    <n v="0"/>
    <n v="0"/>
    <n v="1981"/>
  </r>
  <r>
    <x v="12"/>
    <x v="2"/>
    <x v="2"/>
    <n v="4"/>
    <n v="108"/>
    <n v="7.9999998211860698E-2"/>
    <n v="0"/>
    <n v="0"/>
    <n v="3"/>
    <n v="2011"/>
  </r>
  <r>
    <x v="12"/>
    <x v="3"/>
    <x v="3"/>
    <n v="5"/>
    <n v="1882"/>
    <n v="1.3500000238418599"/>
    <n v="36"/>
    <n v="18"/>
    <n v="87"/>
    <n v="2951"/>
  </r>
  <r>
    <x v="12"/>
    <x v="4"/>
    <x v="4"/>
    <n v="6"/>
    <n v="1982"/>
    <n v="1.41999995708466"/>
    <n v="65"/>
    <n v="21"/>
    <n v="55"/>
    <n v="3051"/>
  </r>
  <r>
    <x v="12"/>
    <x v="5"/>
    <x v="5"/>
    <n v="0"/>
    <n v="16"/>
    <n v="9.9999997764825804E-3"/>
    <n v="0"/>
    <n v="0"/>
    <n v="2"/>
    <n v="1990"/>
  </r>
  <r>
    <x v="12"/>
    <x v="6"/>
    <x v="6"/>
    <n v="1"/>
    <n v="62"/>
    <n v="3.9999999105930301E-2"/>
    <n v="0"/>
    <n v="0"/>
    <n v="2"/>
    <n v="1995"/>
  </r>
  <r>
    <x v="12"/>
    <x v="7"/>
    <x v="0"/>
    <n v="2"/>
    <n v="0"/>
    <n v="0"/>
    <n v="0"/>
    <n v="0"/>
    <n v="0"/>
    <n v="1980"/>
  </r>
  <r>
    <x v="12"/>
    <x v="8"/>
    <x v="1"/>
    <n v="3"/>
    <n v="0"/>
    <n v="0"/>
    <n v="0"/>
    <n v="0"/>
    <n v="0"/>
    <n v="1980"/>
  </r>
  <r>
    <x v="12"/>
    <x v="9"/>
    <x v="2"/>
    <n v="4"/>
    <n v="0"/>
    <n v="0"/>
    <n v="0"/>
    <n v="0"/>
    <n v="0"/>
    <n v="1980"/>
  </r>
  <r>
    <x v="12"/>
    <x v="10"/>
    <x v="3"/>
    <n v="5"/>
    <n v="0"/>
    <n v="0"/>
    <n v="0"/>
    <n v="0"/>
    <n v="0"/>
    <n v="1980"/>
  </r>
  <r>
    <x v="12"/>
    <x v="11"/>
    <x v="4"/>
    <n v="6"/>
    <n v="0"/>
    <n v="0"/>
    <n v="0"/>
    <n v="0"/>
    <n v="0"/>
    <n v="1980"/>
  </r>
  <r>
    <x v="12"/>
    <x v="12"/>
    <x v="5"/>
    <n v="0"/>
    <n v="0"/>
    <n v="0"/>
    <n v="0"/>
    <n v="0"/>
    <n v="0"/>
    <n v="1980"/>
  </r>
  <r>
    <x v="12"/>
    <x v="13"/>
    <x v="6"/>
    <n v="1"/>
    <n v="0"/>
    <n v="0"/>
    <n v="0"/>
    <n v="0"/>
    <n v="0"/>
    <n v="1980"/>
  </r>
  <r>
    <x v="12"/>
    <x v="14"/>
    <x v="0"/>
    <n v="2"/>
    <n v="0"/>
    <n v="0"/>
    <n v="0"/>
    <n v="0"/>
    <n v="0"/>
    <n v="1980"/>
  </r>
  <r>
    <x v="12"/>
    <x v="15"/>
    <x v="1"/>
    <n v="3"/>
    <n v="0"/>
    <n v="0"/>
    <n v="0"/>
    <n v="0"/>
    <n v="0"/>
    <n v="1980"/>
  </r>
  <r>
    <x v="12"/>
    <x v="16"/>
    <x v="2"/>
    <n v="4"/>
    <n v="0"/>
    <n v="0"/>
    <n v="0"/>
    <n v="0"/>
    <n v="0"/>
    <n v="1980"/>
  </r>
  <r>
    <x v="12"/>
    <x v="17"/>
    <x v="3"/>
    <n v="5"/>
    <n v="0"/>
    <n v="0"/>
    <n v="0"/>
    <n v="0"/>
    <n v="0"/>
    <n v="1980"/>
  </r>
  <r>
    <x v="12"/>
    <x v="18"/>
    <x v="4"/>
    <n v="6"/>
    <n v="0"/>
    <n v="0"/>
    <n v="0"/>
    <n v="0"/>
    <n v="0"/>
    <n v="1980"/>
  </r>
  <r>
    <x v="12"/>
    <x v="19"/>
    <x v="5"/>
    <n v="0"/>
    <n v="0"/>
    <n v="0"/>
    <n v="0"/>
    <n v="0"/>
    <n v="0"/>
    <n v="1980"/>
  </r>
  <r>
    <x v="12"/>
    <x v="20"/>
    <x v="6"/>
    <n v="1"/>
    <n v="475"/>
    <n v="0.34000000357627902"/>
    <n v="0"/>
    <n v="11"/>
    <n v="31"/>
    <n v="2207"/>
  </r>
  <r>
    <x v="12"/>
    <x v="21"/>
    <x v="0"/>
    <n v="2"/>
    <n v="4496"/>
    <n v="3.2200000286102299"/>
    <n v="0"/>
    <n v="0"/>
    <n v="174"/>
    <n v="2828"/>
  </r>
  <r>
    <x v="12"/>
    <x v="22"/>
    <x v="1"/>
    <n v="3"/>
    <n v="10252"/>
    <n v="7.3499999046325701"/>
    <n v="13"/>
    <n v="46"/>
    <n v="346"/>
    <n v="3879"/>
  </r>
  <r>
    <x v="12"/>
    <x v="23"/>
    <x v="2"/>
    <n v="4"/>
    <n v="11728"/>
    <n v="8.4300003051757795"/>
    <n v="38"/>
    <n v="42"/>
    <n v="196"/>
    <n v="3429"/>
  </r>
  <r>
    <x v="12"/>
    <x v="24"/>
    <x v="3"/>
    <n v="5"/>
    <n v="4369"/>
    <n v="3.1300001144409202"/>
    <n v="0"/>
    <n v="0"/>
    <n v="177"/>
    <n v="2704"/>
  </r>
  <r>
    <x v="12"/>
    <x v="25"/>
    <x v="4"/>
    <n v="6"/>
    <n v="6132"/>
    <n v="4.4000000953674299"/>
    <n v="0"/>
    <n v="0"/>
    <n v="184"/>
    <n v="2975"/>
  </r>
  <r>
    <x v="12"/>
    <x v="26"/>
    <x v="5"/>
    <n v="0"/>
    <n v="5862"/>
    <n v="4.1999998092651403"/>
    <n v="0"/>
    <n v="0"/>
    <n v="263"/>
    <n v="3089"/>
  </r>
  <r>
    <x v="12"/>
    <x v="27"/>
    <x v="6"/>
    <n v="1"/>
    <n v="4556"/>
    <n v="3.2699999809265101"/>
    <n v="3"/>
    <n v="5"/>
    <n v="173"/>
    <n v="2785"/>
  </r>
  <r>
    <x v="12"/>
    <x v="28"/>
    <x v="0"/>
    <n v="2"/>
    <n v="5546"/>
    <n v="3.9800000190734899"/>
    <n v="0"/>
    <n v="0"/>
    <n v="206"/>
    <n v="2926"/>
  </r>
  <r>
    <x v="12"/>
    <x v="29"/>
    <x v="1"/>
    <n v="3"/>
    <n v="3689"/>
    <n v="2.6500000953674299"/>
    <n v="2"/>
    <n v="8"/>
    <n v="134"/>
    <n v="2645"/>
  </r>
  <r>
    <x v="12"/>
    <x v="30"/>
    <x v="2"/>
    <n v="4"/>
    <n v="590"/>
    <n v="0.41999998688697798"/>
    <n v="0"/>
    <n v="0"/>
    <n v="21"/>
    <n v="1120"/>
  </r>
  <r>
    <x v="13"/>
    <x v="0"/>
    <x v="0"/>
    <n v="2"/>
    <n v="5394"/>
    <n v="4.0300002098083496"/>
    <n v="0"/>
    <n v="0"/>
    <n v="164"/>
    <n v="2286"/>
  </r>
  <r>
    <x v="13"/>
    <x v="1"/>
    <x v="1"/>
    <n v="3"/>
    <n v="5974"/>
    <n v="4.4699997901916504"/>
    <n v="0"/>
    <n v="0"/>
    <n v="160"/>
    <n v="2306"/>
  </r>
  <r>
    <x v="13"/>
    <x v="2"/>
    <x v="2"/>
    <n v="4"/>
    <n v="0"/>
    <n v="0"/>
    <n v="0"/>
    <n v="0"/>
    <n v="0"/>
    <n v="1776"/>
  </r>
  <r>
    <x v="13"/>
    <x v="3"/>
    <x v="3"/>
    <n v="5"/>
    <n v="3984"/>
    <n v="2.9500000476837198"/>
    <n v="3"/>
    <n v="6"/>
    <n v="88"/>
    <n v="1527"/>
  </r>
  <r>
    <x v="14"/>
    <x v="0"/>
    <x v="0"/>
    <n v="2"/>
    <n v="7753"/>
    <n v="5.1999998092651403"/>
    <n v="0"/>
    <n v="0"/>
    <n v="0"/>
    <n v="2115"/>
  </r>
  <r>
    <x v="14"/>
    <x v="1"/>
    <x v="1"/>
    <n v="3"/>
    <n v="8204"/>
    <n v="5.5"/>
    <n v="8"/>
    <n v="15"/>
    <n v="96"/>
    <n v="2135"/>
  </r>
  <r>
    <x v="14"/>
    <x v="2"/>
    <x v="2"/>
    <n v="4"/>
    <n v="10210"/>
    <n v="6.8800001144409197"/>
    <n v="1"/>
    <n v="9"/>
    <n v="339"/>
    <n v="2302"/>
  </r>
  <r>
    <x v="14"/>
    <x v="3"/>
    <x v="3"/>
    <n v="5"/>
    <n v="5664"/>
    <n v="3.7999999523162802"/>
    <n v="0"/>
    <n v="0"/>
    <n v="228"/>
    <n v="1985"/>
  </r>
  <r>
    <x v="14"/>
    <x v="4"/>
    <x v="4"/>
    <n v="6"/>
    <n v="4744"/>
    <n v="3.1800000667571999"/>
    <n v="0"/>
    <n v="0"/>
    <n v="194"/>
    <n v="1884"/>
  </r>
  <r>
    <x v="14"/>
    <x v="5"/>
    <x v="5"/>
    <n v="0"/>
    <n v="29"/>
    <n v="1.9999999552965199E-2"/>
    <n v="0"/>
    <n v="0"/>
    <n v="3"/>
    <n v="1464"/>
  </r>
  <r>
    <x v="14"/>
    <x v="6"/>
    <x v="6"/>
    <n v="1"/>
    <n v="2276"/>
    <n v="1.54999995231628"/>
    <n v="1"/>
    <n v="9"/>
    <n v="58"/>
    <n v="1632"/>
  </r>
  <r>
    <x v="14"/>
    <x v="7"/>
    <x v="0"/>
    <n v="2"/>
    <n v="8925"/>
    <n v="5.9899997711181596"/>
    <n v="0"/>
    <n v="0"/>
    <n v="311"/>
    <n v="2200"/>
  </r>
  <r>
    <x v="14"/>
    <x v="8"/>
    <x v="1"/>
    <n v="3"/>
    <n v="8954"/>
    <n v="6.0100002288818404"/>
    <n v="0"/>
    <n v="18"/>
    <n v="306"/>
    <n v="2220"/>
  </r>
  <r>
    <x v="14"/>
    <x v="9"/>
    <x v="2"/>
    <n v="4"/>
    <n v="3702"/>
    <n v="2.4800000190734899"/>
    <n v="0"/>
    <n v="0"/>
    <n v="34"/>
    <n v="1792"/>
  </r>
  <r>
    <x v="14"/>
    <x v="10"/>
    <x v="3"/>
    <n v="5"/>
    <n v="4500"/>
    <n v="3.0199999809265101"/>
    <n v="1"/>
    <n v="19"/>
    <n v="176"/>
    <n v="1886"/>
  </r>
  <r>
    <x v="14"/>
    <x v="11"/>
    <x v="4"/>
    <n v="6"/>
    <n v="4935"/>
    <n v="3.3099999427795401"/>
    <n v="0"/>
    <n v="0"/>
    <n v="233"/>
    <n v="1945"/>
  </r>
  <r>
    <x v="14"/>
    <x v="12"/>
    <x v="5"/>
    <n v="0"/>
    <n v="4081"/>
    <n v="2.7400000095367401"/>
    <n v="1"/>
    <n v="5"/>
    <n v="191"/>
    <n v="1880"/>
  </r>
  <r>
    <x v="14"/>
    <x v="13"/>
    <x v="6"/>
    <n v="1"/>
    <n v="9259"/>
    <n v="6.21000003814697"/>
    <n v="0"/>
    <n v="8"/>
    <n v="390"/>
    <n v="2314"/>
  </r>
  <r>
    <x v="14"/>
    <x v="14"/>
    <x v="0"/>
    <n v="2"/>
    <n v="9899"/>
    <n v="6.6399998664856001"/>
    <n v="8"/>
    <n v="21"/>
    <n v="288"/>
    <n v="2236"/>
  </r>
  <r>
    <x v="14"/>
    <x v="15"/>
    <x v="1"/>
    <n v="3"/>
    <n v="10780"/>
    <n v="7.2300000190734899"/>
    <n v="6"/>
    <n v="47"/>
    <n v="300"/>
    <n v="2324"/>
  </r>
  <r>
    <x v="14"/>
    <x v="16"/>
    <x v="2"/>
    <n v="4"/>
    <n v="10817"/>
    <n v="7.2800002098083496"/>
    <n v="13"/>
    <n v="8"/>
    <n v="359"/>
    <n v="2367"/>
  </r>
  <r>
    <x v="14"/>
    <x v="17"/>
    <x v="3"/>
    <n v="5"/>
    <n v="7990"/>
    <n v="5.3600001335143999"/>
    <n v="6"/>
    <n v="18"/>
    <n v="289"/>
    <n v="2175"/>
  </r>
  <r>
    <x v="14"/>
    <x v="18"/>
    <x v="4"/>
    <n v="6"/>
    <n v="8221"/>
    <n v="5.5199999809265101"/>
    <n v="6"/>
    <n v="38"/>
    <n v="196"/>
    <n v="2092"/>
  </r>
  <r>
    <x v="14"/>
    <x v="19"/>
    <x v="5"/>
    <n v="0"/>
    <n v="1251"/>
    <n v="0.83999997377395597"/>
    <n v="0"/>
    <n v="0"/>
    <n v="67"/>
    <n v="1593"/>
  </r>
  <r>
    <x v="14"/>
    <x v="20"/>
    <x v="6"/>
    <n v="1"/>
    <n v="9261"/>
    <n v="6.2399997711181596"/>
    <n v="0"/>
    <n v="11"/>
    <n v="344"/>
    <n v="2270"/>
  </r>
  <r>
    <x v="14"/>
    <x v="21"/>
    <x v="0"/>
    <n v="2"/>
    <n v="9648"/>
    <n v="6.4699997901916504"/>
    <n v="8"/>
    <n v="26"/>
    <n v="287"/>
    <n v="2235"/>
  </r>
  <r>
    <x v="14"/>
    <x v="22"/>
    <x v="1"/>
    <n v="3"/>
    <n v="10429"/>
    <n v="7.0199999809265101"/>
    <n v="8"/>
    <n v="13"/>
    <n v="313"/>
    <n v="2282"/>
  </r>
  <r>
    <x v="14"/>
    <x v="23"/>
    <x v="2"/>
    <n v="4"/>
    <n v="13658"/>
    <n v="9.4899997711181605"/>
    <n v="27"/>
    <n v="34"/>
    <n v="328"/>
    <n v="2530"/>
  </r>
  <r>
    <x v="14"/>
    <x v="24"/>
    <x v="3"/>
    <n v="5"/>
    <n v="9524"/>
    <n v="6.4200000762939498"/>
    <n v="6"/>
    <n v="11"/>
    <n v="314"/>
    <n v="2266"/>
  </r>
  <r>
    <x v="14"/>
    <x v="25"/>
    <x v="4"/>
    <n v="6"/>
    <n v="7937"/>
    <n v="5.3299999237060502"/>
    <n v="3"/>
    <n v="28"/>
    <n v="279"/>
    <n v="2158"/>
  </r>
  <r>
    <x v="14"/>
    <x v="26"/>
    <x v="5"/>
    <n v="0"/>
    <n v="3672"/>
    <n v="2.46000003814697"/>
    <n v="0"/>
    <n v="0"/>
    <n v="153"/>
    <n v="1792"/>
  </r>
  <r>
    <x v="14"/>
    <x v="27"/>
    <x v="6"/>
    <n v="1"/>
    <n v="10378"/>
    <n v="6.96000003814697"/>
    <n v="2"/>
    <n v="14"/>
    <n v="374"/>
    <n v="2345"/>
  </r>
  <r>
    <x v="14"/>
    <x v="28"/>
    <x v="0"/>
    <n v="2"/>
    <n v="9487"/>
    <n v="6.3699998855590803"/>
    <n v="3"/>
    <n v="12"/>
    <n v="329"/>
    <n v="2260"/>
  </r>
  <r>
    <x v="14"/>
    <x v="29"/>
    <x v="1"/>
    <n v="3"/>
    <n v="9129"/>
    <n v="6.1300001144409197"/>
    <n v="3"/>
    <n v="18"/>
    <n v="311"/>
    <n v="2232"/>
  </r>
  <r>
    <x v="14"/>
    <x v="30"/>
    <x v="2"/>
    <n v="4"/>
    <n v="17"/>
    <n v="9.9999997764825804E-3"/>
    <n v="0"/>
    <n v="0"/>
    <n v="2"/>
    <n v="257"/>
  </r>
  <r>
    <x v="15"/>
    <x v="0"/>
    <x v="0"/>
    <n v="2"/>
    <n v="10122"/>
    <n v="7.7800002098083496"/>
    <n v="0"/>
    <n v="0"/>
    <n v="0"/>
    <n v="2955"/>
  </r>
  <r>
    <x v="15"/>
    <x v="1"/>
    <x v="1"/>
    <n v="3"/>
    <n v="10993"/>
    <n v="8.4499998092651403"/>
    <n v="1"/>
    <n v="14"/>
    <n v="150"/>
    <n v="3092"/>
  </r>
  <r>
    <x v="15"/>
    <x v="2"/>
    <x v="2"/>
    <n v="4"/>
    <n v="8863"/>
    <n v="6.8200001716613796"/>
    <n v="10"/>
    <n v="35"/>
    <n v="219"/>
    <n v="2998"/>
  </r>
  <r>
    <x v="15"/>
    <x v="3"/>
    <x v="3"/>
    <n v="5"/>
    <n v="8758"/>
    <n v="6.7300000190734899"/>
    <n v="0"/>
    <n v="0"/>
    <n v="299"/>
    <n v="3066"/>
  </r>
  <r>
    <x v="15"/>
    <x v="4"/>
    <x v="4"/>
    <n v="6"/>
    <n v="6580"/>
    <n v="5.0599999427795401"/>
    <n v="6"/>
    <n v="9"/>
    <n v="253"/>
    <n v="3073"/>
  </r>
  <r>
    <x v="15"/>
    <x v="5"/>
    <x v="5"/>
    <n v="0"/>
    <n v="4660"/>
    <n v="3.5799999237060498"/>
    <n v="0"/>
    <n v="0"/>
    <n v="201"/>
    <n v="2572"/>
  </r>
  <r>
    <x v="15"/>
    <x v="6"/>
    <x v="6"/>
    <n v="1"/>
    <n v="11009"/>
    <n v="9.1000003814697301"/>
    <n v="27"/>
    <n v="8"/>
    <n v="239"/>
    <n v="3274"/>
  </r>
  <r>
    <x v="15"/>
    <x v="7"/>
    <x v="0"/>
    <n v="2"/>
    <n v="10181"/>
    <n v="7.8299999237060502"/>
    <n v="20"/>
    <n v="16"/>
    <n v="249"/>
    <n v="3015"/>
  </r>
  <r>
    <x v="15"/>
    <x v="8"/>
    <x v="1"/>
    <n v="3"/>
    <n v="10553"/>
    <n v="8.1199998855590803"/>
    <n v="19"/>
    <n v="42"/>
    <n v="228"/>
    <n v="3083"/>
  </r>
  <r>
    <x v="15"/>
    <x v="9"/>
    <x v="2"/>
    <n v="4"/>
    <n v="10055"/>
    <n v="7.7300000190734899"/>
    <n v="7"/>
    <n v="12"/>
    <n v="272"/>
    <n v="3069"/>
  </r>
  <r>
    <x v="15"/>
    <x v="10"/>
    <x v="3"/>
    <n v="5"/>
    <n v="12139"/>
    <n v="9.3400001525878906"/>
    <n v="77"/>
    <n v="25"/>
    <n v="220"/>
    <n v="3544"/>
  </r>
  <r>
    <x v="15"/>
    <x v="11"/>
    <x v="4"/>
    <n v="6"/>
    <n v="13236"/>
    <n v="10.180000305175801"/>
    <n v="58"/>
    <n v="5"/>
    <n v="215"/>
    <n v="3306"/>
  </r>
  <r>
    <x v="15"/>
    <x v="12"/>
    <x v="5"/>
    <n v="0"/>
    <n v="10243"/>
    <n v="7.8800001144409197"/>
    <n v="14"/>
    <n v="8"/>
    <n v="239"/>
    <n v="2885"/>
  </r>
  <r>
    <x v="15"/>
    <x v="13"/>
    <x v="6"/>
    <n v="1"/>
    <n v="12961"/>
    <n v="9.9700002670288104"/>
    <n v="11"/>
    <n v="31"/>
    <n v="301"/>
    <n v="3288"/>
  </r>
  <r>
    <x v="15"/>
    <x v="14"/>
    <x v="0"/>
    <n v="2"/>
    <n v="9461"/>
    <n v="7.2800002098083496"/>
    <n v="14"/>
    <n v="23"/>
    <n v="224"/>
    <n v="2929"/>
  </r>
  <r>
    <x v="15"/>
    <x v="15"/>
    <x v="1"/>
    <n v="3"/>
    <n v="11193"/>
    <n v="8.6099996566772496"/>
    <n v="11"/>
    <n v="48"/>
    <n v="241"/>
    <n v="3074"/>
  </r>
  <r>
    <x v="15"/>
    <x v="16"/>
    <x v="2"/>
    <n v="4"/>
    <n v="10074"/>
    <n v="7.75"/>
    <n v="19"/>
    <n v="9"/>
    <n v="234"/>
    <n v="2969"/>
  </r>
  <r>
    <x v="15"/>
    <x v="17"/>
    <x v="3"/>
    <n v="5"/>
    <n v="9232"/>
    <n v="7.0999999046325701"/>
    <n v="13"/>
    <n v="16"/>
    <n v="236"/>
    <n v="2979"/>
  </r>
  <r>
    <x v="15"/>
    <x v="18"/>
    <x v="4"/>
    <n v="6"/>
    <n v="12533"/>
    <n v="9.6400003433227504"/>
    <n v="14"/>
    <n v="43"/>
    <n v="300"/>
    <n v="3283"/>
  </r>
  <r>
    <x v="15"/>
    <x v="19"/>
    <x v="5"/>
    <n v="0"/>
    <n v="10255"/>
    <n v="7.8899998664856001"/>
    <n v="12"/>
    <n v="15"/>
    <n v="241"/>
    <n v="2926"/>
  </r>
  <r>
    <x v="15"/>
    <x v="20"/>
    <x v="6"/>
    <n v="1"/>
    <n v="10096"/>
    <n v="8.3999996185302699"/>
    <n v="33"/>
    <n v="4"/>
    <n v="204"/>
    <n v="3147"/>
  </r>
  <r>
    <x v="15"/>
    <x v="21"/>
    <x v="0"/>
    <n v="2"/>
    <n v="12727"/>
    <n v="9.7899999618530291"/>
    <n v="18"/>
    <n v="18"/>
    <n v="306"/>
    <n v="3290"/>
  </r>
  <r>
    <x v="15"/>
    <x v="22"/>
    <x v="1"/>
    <n v="3"/>
    <n v="12375"/>
    <n v="9.5200004577636701"/>
    <n v="35"/>
    <n v="21"/>
    <n v="251"/>
    <n v="3162"/>
  </r>
  <r>
    <x v="15"/>
    <x v="23"/>
    <x v="2"/>
    <n v="4"/>
    <n v="9603"/>
    <n v="7.3800001144409197"/>
    <n v="12"/>
    <n v="39"/>
    <n v="199"/>
    <n v="2899"/>
  </r>
  <r>
    <x v="15"/>
    <x v="24"/>
    <x v="3"/>
    <n v="5"/>
    <n v="13175"/>
    <n v="10.1300001144409"/>
    <n v="33"/>
    <n v="45"/>
    <n v="262"/>
    <n v="3425"/>
  </r>
  <r>
    <x v="15"/>
    <x v="25"/>
    <x v="4"/>
    <n v="6"/>
    <n v="22770"/>
    <n v="17.540000915527301"/>
    <n v="120"/>
    <n v="56"/>
    <n v="260"/>
    <n v="4022"/>
  </r>
  <r>
    <x v="15"/>
    <x v="26"/>
    <x v="5"/>
    <n v="0"/>
    <n v="17298"/>
    <n v="14.3800001144409"/>
    <n v="107"/>
    <n v="38"/>
    <n v="178"/>
    <n v="3934"/>
  </r>
  <r>
    <x v="15"/>
    <x v="27"/>
    <x v="6"/>
    <n v="1"/>
    <n v="10218"/>
    <n v="7.8600001335143999"/>
    <n v="6"/>
    <n v="19"/>
    <n v="258"/>
    <n v="3013"/>
  </r>
  <r>
    <x v="15"/>
    <x v="28"/>
    <x v="0"/>
    <n v="2"/>
    <n v="10299"/>
    <n v="7.9200000762939498"/>
    <n v="13"/>
    <n v="14"/>
    <n v="267"/>
    <n v="3061"/>
  </r>
  <r>
    <x v="15"/>
    <x v="29"/>
    <x v="1"/>
    <n v="3"/>
    <n v="10201"/>
    <n v="7.8400001525878897"/>
    <n v="8"/>
    <n v="18"/>
    <n v="256"/>
    <n v="2954"/>
  </r>
  <r>
    <x v="15"/>
    <x v="30"/>
    <x v="2"/>
    <n v="4"/>
    <n v="3369"/>
    <n v="2.5899999141693102"/>
    <n v="0"/>
    <n v="0"/>
    <n v="108"/>
    <n v="1623"/>
  </r>
  <r>
    <x v="16"/>
    <x v="0"/>
    <x v="0"/>
    <n v="2"/>
    <n v="3276"/>
    <n v="2.2000000476837198"/>
    <n v="0"/>
    <n v="0"/>
    <n v="196"/>
    <n v="2113"/>
  </r>
  <r>
    <x v="16"/>
    <x v="1"/>
    <x v="1"/>
    <n v="3"/>
    <n v="2961"/>
    <n v="1.9900000095367401"/>
    <n v="0"/>
    <n v="0"/>
    <n v="194"/>
    <n v="2095"/>
  </r>
  <r>
    <x v="16"/>
    <x v="2"/>
    <x v="2"/>
    <n v="4"/>
    <n v="3974"/>
    <n v="2.6700000762939502"/>
    <n v="0"/>
    <n v="0"/>
    <n v="231"/>
    <n v="2194"/>
  </r>
  <r>
    <x v="16"/>
    <x v="3"/>
    <x v="3"/>
    <n v="5"/>
    <n v="7198"/>
    <n v="4.8299999237060502"/>
    <n v="0"/>
    <n v="0"/>
    <n v="350"/>
    <n v="2496"/>
  </r>
  <r>
    <x v="16"/>
    <x v="4"/>
    <x v="4"/>
    <n v="6"/>
    <n v="3945"/>
    <n v="2.6500000953674299"/>
    <n v="0"/>
    <n v="0"/>
    <n v="225"/>
    <n v="2180"/>
  </r>
  <r>
    <x v="16"/>
    <x v="5"/>
    <x v="5"/>
    <n v="0"/>
    <n v="2268"/>
    <n v="1.5199999809265099"/>
    <n v="0"/>
    <n v="0"/>
    <n v="114"/>
    <n v="1933"/>
  </r>
  <r>
    <x v="16"/>
    <x v="6"/>
    <x v="6"/>
    <n v="1"/>
    <n v="6155"/>
    <n v="4.2399997711181596"/>
    <n v="25"/>
    <n v="6"/>
    <n v="162"/>
    <n v="2248"/>
  </r>
  <r>
    <x v="16"/>
    <x v="7"/>
    <x v="0"/>
    <n v="2"/>
    <n v="2064"/>
    <n v="1.3899999856948899"/>
    <n v="0"/>
    <n v="0"/>
    <n v="121"/>
    <n v="1954"/>
  </r>
  <r>
    <x v="16"/>
    <x v="8"/>
    <x v="1"/>
    <n v="3"/>
    <n v="2072"/>
    <n v="1.3899999856948899"/>
    <n v="0"/>
    <n v="0"/>
    <n v="137"/>
    <n v="1974"/>
  </r>
  <r>
    <x v="16"/>
    <x v="9"/>
    <x v="2"/>
    <n v="4"/>
    <n v="3809"/>
    <n v="2.5599999427795401"/>
    <n v="0"/>
    <n v="0"/>
    <n v="215"/>
    <n v="2150"/>
  </r>
  <r>
    <x v="16"/>
    <x v="10"/>
    <x v="3"/>
    <n v="5"/>
    <n v="6831"/>
    <n v="4.5799999237060502"/>
    <n v="0"/>
    <n v="0"/>
    <n v="317"/>
    <n v="2432"/>
  </r>
  <r>
    <x v="16"/>
    <x v="11"/>
    <x v="4"/>
    <n v="6"/>
    <n v="4363"/>
    <n v="2.9300000667571999"/>
    <n v="0"/>
    <n v="0"/>
    <n v="201"/>
    <n v="2149"/>
  </r>
  <r>
    <x v="16"/>
    <x v="12"/>
    <x v="5"/>
    <n v="0"/>
    <n v="5002"/>
    <n v="3.3599998950958301"/>
    <n v="0"/>
    <n v="0"/>
    <n v="244"/>
    <n v="2247"/>
  </r>
  <r>
    <x v="16"/>
    <x v="13"/>
    <x v="6"/>
    <n v="1"/>
    <n v="3385"/>
    <n v="2.2699999809265101"/>
    <n v="0"/>
    <n v="0"/>
    <n v="179"/>
    <n v="2070"/>
  </r>
  <r>
    <x v="16"/>
    <x v="14"/>
    <x v="0"/>
    <n v="2"/>
    <n v="6326"/>
    <n v="4.4099998474121103"/>
    <n v="29"/>
    <n v="1"/>
    <n v="180"/>
    <n v="2291"/>
  </r>
  <r>
    <x v="16"/>
    <x v="15"/>
    <x v="1"/>
    <n v="3"/>
    <n v="7243"/>
    <n v="5.0300002098083496"/>
    <n v="32"/>
    <n v="1"/>
    <n v="194"/>
    <n v="2361"/>
  </r>
  <r>
    <x v="16"/>
    <x v="16"/>
    <x v="2"/>
    <n v="4"/>
    <n v="4493"/>
    <n v="3.0099999904632599"/>
    <n v="0"/>
    <n v="0"/>
    <n v="236"/>
    <n v="2203"/>
  </r>
  <r>
    <x v="16"/>
    <x v="17"/>
    <x v="3"/>
    <n v="5"/>
    <n v="4676"/>
    <n v="3.1400001049041699"/>
    <n v="0"/>
    <n v="0"/>
    <n v="226"/>
    <n v="2196"/>
  </r>
  <r>
    <x v="16"/>
    <x v="18"/>
    <x v="4"/>
    <n v="6"/>
    <n v="6222"/>
    <n v="4.1799998283386204"/>
    <n v="0"/>
    <n v="0"/>
    <n v="290"/>
    <n v="2363"/>
  </r>
  <r>
    <x v="16"/>
    <x v="19"/>
    <x v="5"/>
    <n v="0"/>
    <n v="5232"/>
    <n v="3.5099999904632599"/>
    <n v="0"/>
    <n v="0"/>
    <n v="240"/>
    <n v="2246"/>
  </r>
  <r>
    <x v="16"/>
    <x v="20"/>
    <x v="6"/>
    <n v="1"/>
    <n v="6910"/>
    <n v="4.75"/>
    <n v="27"/>
    <n v="4"/>
    <n v="200"/>
    <n v="2336"/>
  </r>
  <r>
    <x v="16"/>
    <x v="21"/>
    <x v="0"/>
    <n v="2"/>
    <n v="7502"/>
    <n v="5.1799998283386204"/>
    <n v="30"/>
    <n v="2"/>
    <n v="233"/>
    <n v="2421"/>
  </r>
  <r>
    <x v="16"/>
    <x v="22"/>
    <x v="1"/>
    <n v="3"/>
    <n v="2923"/>
    <n v="1.96000003814697"/>
    <n v="0"/>
    <n v="0"/>
    <n v="180"/>
    <n v="2070"/>
  </r>
  <r>
    <x v="16"/>
    <x v="23"/>
    <x v="2"/>
    <n v="4"/>
    <n v="3800"/>
    <n v="2.5499999523162802"/>
    <n v="2"/>
    <n v="6"/>
    <n v="185"/>
    <n v="2120"/>
  </r>
  <r>
    <x v="16"/>
    <x v="24"/>
    <x v="3"/>
    <n v="5"/>
    <n v="4514"/>
    <n v="3.0299999713897701"/>
    <n v="0"/>
    <n v="0"/>
    <n v="229"/>
    <n v="2211"/>
  </r>
  <r>
    <x v="16"/>
    <x v="25"/>
    <x v="4"/>
    <n v="6"/>
    <n v="5183"/>
    <n v="3.5899999141693102"/>
    <n v="26"/>
    <n v="4"/>
    <n v="108"/>
    <n v="2123"/>
  </r>
  <r>
    <x v="16"/>
    <x v="26"/>
    <x v="5"/>
    <n v="0"/>
    <n v="7303"/>
    <n v="4.9000000953674299"/>
    <n v="0"/>
    <n v="8"/>
    <n v="308"/>
    <n v="2423"/>
  </r>
  <r>
    <x v="16"/>
    <x v="27"/>
    <x v="6"/>
    <n v="1"/>
    <n v="5275"/>
    <n v="3.53999996185303"/>
    <n v="0"/>
    <n v="0"/>
    <n v="266"/>
    <n v="2281"/>
  </r>
  <r>
    <x v="16"/>
    <x v="28"/>
    <x v="0"/>
    <n v="2"/>
    <n v="3915"/>
    <n v="2.6300001144409202"/>
    <n v="0"/>
    <n v="0"/>
    <n v="231"/>
    <n v="2181"/>
  </r>
  <r>
    <x v="16"/>
    <x v="29"/>
    <x v="1"/>
    <n v="3"/>
    <n v="9105"/>
    <n v="6.1100001335143999"/>
    <n v="34"/>
    <n v="22"/>
    <n v="232"/>
    <n v="2499"/>
  </r>
  <r>
    <x v="16"/>
    <x v="30"/>
    <x v="2"/>
    <n v="4"/>
    <n v="768"/>
    <n v="0.519999980926514"/>
    <n v="0"/>
    <n v="0"/>
    <n v="58"/>
    <n v="1212"/>
  </r>
  <r>
    <x v="17"/>
    <x v="0"/>
    <x v="0"/>
    <n v="2"/>
    <n v="5135"/>
    <n v="3.3900001049041699"/>
    <n v="0"/>
    <n v="0"/>
    <n v="318"/>
    <n v="1909"/>
  </r>
  <r>
    <x v="17"/>
    <x v="1"/>
    <x v="1"/>
    <n v="3"/>
    <n v="4978"/>
    <n v="3.28999996185303"/>
    <n v="19"/>
    <n v="7"/>
    <n v="127"/>
    <n v="1722"/>
  </r>
  <r>
    <x v="17"/>
    <x v="2"/>
    <x v="2"/>
    <n v="4"/>
    <n v="6799"/>
    <n v="4.4899997711181596"/>
    <n v="0"/>
    <n v="0"/>
    <n v="279"/>
    <n v="1922"/>
  </r>
  <r>
    <x v="17"/>
    <x v="3"/>
    <x v="3"/>
    <n v="5"/>
    <n v="7795"/>
    <n v="5.1500000953674299"/>
    <n v="17"/>
    <n v="30"/>
    <n v="262"/>
    <n v="2121"/>
  </r>
  <r>
    <x v="17"/>
    <x v="4"/>
    <x v="4"/>
    <n v="6"/>
    <n v="7289"/>
    <n v="4.8200001716613796"/>
    <n v="8"/>
    <n v="12"/>
    <n v="308"/>
    <n v="1997"/>
  </r>
  <r>
    <x v="17"/>
    <x v="5"/>
    <x v="5"/>
    <n v="0"/>
    <n v="9634"/>
    <n v="6.4000000953674299"/>
    <n v="7"/>
    <n v="19"/>
    <n v="304"/>
    <n v="2117"/>
  </r>
  <r>
    <x v="17"/>
    <x v="6"/>
    <x v="6"/>
    <n v="1"/>
    <n v="8940"/>
    <n v="5.9099998474121103"/>
    <n v="14"/>
    <n v="15"/>
    <n v="331"/>
    <n v="2116"/>
  </r>
  <r>
    <x v="17"/>
    <x v="7"/>
    <x v="0"/>
    <n v="2"/>
    <n v="5401"/>
    <n v="3.5699999332428001"/>
    <n v="1"/>
    <n v="9"/>
    <n v="248"/>
    <n v="1876"/>
  </r>
  <r>
    <x v="17"/>
    <x v="8"/>
    <x v="1"/>
    <n v="3"/>
    <n v="4803"/>
    <n v="3.1700000762939502"/>
    <n v="0"/>
    <n v="0"/>
    <n v="222"/>
    <n v="1788"/>
  </r>
  <r>
    <x v="17"/>
    <x v="9"/>
    <x v="2"/>
    <n v="4"/>
    <n v="13743"/>
    <n v="9.0799999237060494"/>
    <n v="6"/>
    <n v="21"/>
    <n v="432"/>
    <n v="2486"/>
  </r>
  <r>
    <x v="17"/>
    <x v="10"/>
    <x v="3"/>
    <n v="5"/>
    <n v="9601"/>
    <n v="6.3499999046325701"/>
    <n v="20"/>
    <n v="25"/>
    <n v="273"/>
    <n v="2094"/>
  </r>
  <r>
    <x v="17"/>
    <x v="11"/>
    <x v="4"/>
    <n v="6"/>
    <n v="6890"/>
    <n v="4.5500001907348597"/>
    <n v="5"/>
    <n v="5"/>
    <n v="308"/>
    <n v="2085"/>
  </r>
  <r>
    <x v="17"/>
    <x v="12"/>
    <x v="5"/>
    <n v="0"/>
    <n v="8563"/>
    <n v="5.6599998474121103"/>
    <n v="0"/>
    <n v="0"/>
    <n v="395"/>
    <n v="2173"/>
  </r>
  <r>
    <x v="17"/>
    <x v="13"/>
    <x v="6"/>
    <n v="1"/>
    <n v="8095"/>
    <n v="5.3499999046325701"/>
    <n v="18"/>
    <n v="10"/>
    <n v="340"/>
    <n v="2225"/>
  </r>
  <r>
    <x v="17"/>
    <x v="14"/>
    <x v="0"/>
    <n v="2"/>
    <n v="9148"/>
    <n v="6.0500001907348597"/>
    <n v="12"/>
    <n v="41"/>
    <n v="283"/>
    <n v="2223"/>
  </r>
  <r>
    <x v="17"/>
    <x v="15"/>
    <x v="1"/>
    <n v="3"/>
    <n v="9557"/>
    <n v="6.3200001716613796"/>
    <n v="27"/>
    <n v="14"/>
    <n v="312"/>
    <n v="2098"/>
  </r>
  <r>
    <x v="17"/>
    <x v="16"/>
    <x v="2"/>
    <n v="4"/>
    <n v="9451"/>
    <n v="6.25"/>
    <n v="1"/>
    <n v="11"/>
    <n v="367"/>
    <n v="2185"/>
  </r>
  <r>
    <x v="17"/>
    <x v="17"/>
    <x v="3"/>
    <n v="5"/>
    <n v="7833"/>
    <n v="5.1799998283386204"/>
    <n v="15"/>
    <n v="29"/>
    <n v="197"/>
    <n v="1918"/>
  </r>
  <r>
    <x v="17"/>
    <x v="18"/>
    <x v="4"/>
    <n v="6"/>
    <n v="10319"/>
    <n v="6.8200001716613796"/>
    <n v="7"/>
    <n v="29"/>
    <n v="293"/>
    <n v="2105"/>
  </r>
  <r>
    <x v="17"/>
    <x v="19"/>
    <x v="5"/>
    <n v="0"/>
    <n v="3428"/>
    <n v="2.2699999809265101"/>
    <n v="0"/>
    <n v="0"/>
    <n v="190"/>
    <n v="1692"/>
  </r>
  <r>
    <x v="17"/>
    <x v="20"/>
    <x v="6"/>
    <n v="1"/>
    <n v="7891"/>
    <n v="5.2199997901916504"/>
    <n v="0"/>
    <n v="0"/>
    <n v="383"/>
    <n v="2066"/>
  </r>
  <r>
    <x v="17"/>
    <x v="21"/>
    <x v="0"/>
    <n v="2"/>
    <n v="5267"/>
    <n v="3.4800000190734899"/>
    <n v="21"/>
    <n v="10"/>
    <n v="237"/>
    <n v="1953"/>
  </r>
  <r>
    <x v="17"/>
    <x v="22"/>
    <x v="1"/>
    <n v="3"/>
    <n v="5232"/>
    <n v="3.46000003814697"/>
    <n v="0"/>
    <n v="0"/>
    <n v="252"/>
    <n v="1842"/>
  </r>
  <r>
    <x v="17"/>
    <x v="23"/>
    <x v="2"/>
    <n v="4"/>
    <n v="10611"/>
    <n v="7.0100002288818404"/>
    <n v="14"/>
    <n v="8"/>
    <n v="370"/>
    <n v="2262"/>
  </r>
  <r>
    <x v="17"/>
    <x v="24"/>
    <x v="3"/>
    <n v="5"/>
    <n v="3755"/>
    <n v="2.4800000190734899"/>
    <n v="0"/>
    <n v="0"/>
    <n v="202"/>
    <n v="1722"/>
  </r>
  <r>
    <x v="17"/>
    <x v="25"/>
    <x v="4"/>
    <n v="6"/>
    <n v="8237"/>
    <n v="5.4400000572204599"/>
    <n v="23"/>
    <n v="16"/>
    <n v="233"/>
    <n v="1973"/>
  </r>
  <r>
    <x v="17"/>
    <x v="26"/>
    <x v="5"/>
    <n v="0"/>
    <n v="6543"/>
    <n v="4.3299999237060502"/>
    <n v="66"/>
    <n v="35"/>
    <n v="238"/>
    <n v="2666"/>
  </r>
  <r>
    <x v="17"/>
    <x v="27"/>
    <x v="6"/>
    <n v="1"/>
    <n v="11451"/>
    <n v="7.5700001716613796"/>
    <n v="6"/>
    <n v="30"/>
    <n v="339"/>
    <n v="2223"/>
  </r>
  <r>
    <x v="17"/>
    <x v="28"/>
    <x v="0"/>
    <n v="2"/>
    <n v="6435"/>
    <n v="4.25"/>
    <n v="11"/>
    <n v="18"/>
    <n v="220"/>
    <n v="1889"/>
  </r>
  <r>
    <x v="17"/>
    <x v="29"/>
    <x v="1"/>
    <n v="3"/>
    <n v="9108"/>
    <n v="6.0199999809265101"/>
    <n v="4"/>
    <n v="31"/>
    <n v="324"/>
    <n v="2131"/>
  </r>
  <r>
    <x v="17"/>
    <x v="30"/>
    <x v="2"/>
    <n v="4"/>
    <n v="6307"/>
    <n v="4.1700000762939498"/>
    <n v="0"/>
    <n v="0"/>
    <n v="247"/>
    <n v="1452"/>
  </r>
  <r>
    <x v="18"/>
    <x v="0"/>
    <x v="0"/>
    <n v="2"/>
    <n v="7213"/>
    <n v="5.8800001144409197"/>
    <n v="0"/>
    <n v="0"/>
    <n v="263"/>
    <n v="2947"/>
  </r>
  <r>
    <x v="18"/>
    <x v="1"/>
    <x v="1"/>
    <n v="3"/>
    <n v="6877"/>
    <n v="5.5799999237060502"/>
    <n v="0"/>
    <n v="0"/>
    <n v="258"/>
    <n v="2898"/>
  </r>
  <r>
    <x v="18"/>
    <x v="2"/>
    <x v="2"/>
    <n v="4"/>
    <n v="7860"/>
    <n v="6.3699998855590803"/>
    <n v="0"/>
    <n v="0"/>
    <n v="271"/>
    <n v="2984"/>
  </r>
  <r>
    <x v="18"/>
    <x v="3"/>
    <x v="3"/>
    <n v="5"/>
    <n v="6506"/>
    <n v="5.2800002098083496"/>
    <n v="1"/>
    <n v="8"/>
    <n v="256"/>
    <n v="2896"/>
  </r>
  <r>
    <x v="18"/>
    <x v="4"/>
    <x v="4"/>
    <n v="6"/>
    <n v="11140"/>
    <n v="9.0299997329711896"/>
    <n v="3"/>
    <n v="24"/>
    <n v="335"/>
    <n v="3328"/>
  </r>
  <r>
    <x v="18"/>
    <x v="5"/>
    <x v="5"/>
    <n v="0"/>
    <n v="12692"/>
    <n v="10.289999961853001"/>
    <n v="12"/>
    <n v="66"/>
    <n v="302"/>
    <n v="3394"/>
  </r>
  <r>
    <x v="18"/>
    <x v="6"/>
    <x v="6"/>
    <n v="1"/>
    <n v="9105"/>
    <n v="7.3800001144409197"/>
    <n v="22"/>
    <n v="30"/>
    <n v="191"/>
    <n v="3013"/>
  </r>
  <r>
    <x v="18"/>
    <x v="7"/>
    <x v="0"/>
    <n v="2"/>
    <n v="6708"/>
    <n v="5.4400000572204599"/>
    <n v="10"/>
    <n v="8"/>
    <n v="179"/>
    <n v="2812"/>
  </r>
  <r>
    <x v="18"/>
    <x v="8"/>
    <x v="1"/>
    <n v="3"/>
    <n v="8793"/>
    <n v="7.1300001144409197"/>
    <n v="2"/>
    <n v="29"/>
    <n v="260"/>
    <n v="3061"/>
  </r>
  <r>
    <x v="18"/>
    <x v="9"/>
    <x v="2"/>
    <n v="4"/>
    <n v="6530"/>
    <n v="5.3000001907348597"/>
    <n v="4"/>
    <n v="41"/>
    <n v="144"/>
    <n v="2729"/>
  </r>
  <r>
    <x v="18"/>
    <x v="10"/>
    <x v="3"/>
    <n v="5"/>
    <n v="1664"/>
    <n v="1.3500000238418599"/>
    <n v="0"/>
    <n v="0"/>
    <n v="72"/>
    <n v="2241"/>
  </r>
  <r>
    <x v="18"/>
    <x v="11"/>
    <x v="4"/>
    <n v="6"/>
    <n v="15126"/>
    <n v="12.2700004577637"/>
    <n v="9"/>
    <n v="66"/>
    <n v="408"/>
    <n v="3691"/>
  </r>
  <r>
    <x v="18"/>
    <x v="12"/>
    <x v="5"/>
    <n v="0"/>
    <n v="15050"/>
    <n v="12.2200002670288"/>
    <n v="15"/>
    <n v="95"/>
    <n v="281"/>
    <n v="3538"/>
  </r>
  <r>
    <x v="18"/>
    <x v="13"/>
    <x v="6"/>
    <n v="1"/>
    <n v="9167"/>
    <n v="7.4299998283386204"/>
    <n v="6"/>
    <n v="15"/>
    <n v="270"/>
    <n v="3064"/>
  </r>
  <r>
    <x v="18"/>
    <x v="14"/>
    <x v="0"/>
    <n v="2"/>
    <n v="6108"/>
    <n v="4.9499998092651403"/>
    <n v="1"/>
    <n v="8"/>
    <n v="216"/>
    <n v="2784"/>
  </r>
  <r>
    <x v="18"/>
    <x v="15"/>
    <x v="1"/>
    <n v="3"/>
    <n v="7047"/>
    <n v="5.7199997901916504"/>
    <n v="1"/>
    <n v="16"/>
    <n v="238"/>
    <n v="2908"/>
  </r>
  <r>
    <x v="18"/>
    <x v="16"/>
    <x v="2"/>
    <n v="4"/>
    <n v="9023"/>
    <n v="7.3200001716613796"/>
    <n v="14"/>
    <n v="9"/>
    <n v="232"/>
    <n v="3033"/>
  </r>
  <r>
    <x v="18"/>
    <x v="17"/>
    <x v="3"/>
    <n v="5"/>
    <n v="9930"/>
    <n v="8.0500001907348597"/>
    <n v="12"/>
    <n v="19"/>
    <n v="267"/>
    <n v="3165"/>
  </r>
  <r>
    <x v="18"/>
    <x v="18"/>
    <x v="4"/>
    <n v="6"/>
    <n v="10144"/>
    <n v="8.2299995422363299"/>
    <n v="4"/>
    <n v="36"/>
    <n v="263"/>
    <n v="3115"/>
  </r>
  <r>
    <x v="18"/>
    <x v="19"/>
    <x v="5"/>
    <n v="0"/>
    <n v="0"/>
    <n v="0"/>
    <n v="0"/>
    <n v="0"/>
    <n v="0"/>
    <n v="2017"/>
  </r>
  <r>
    <x v="18"/>
    <x v="20"/>
    <x v="6"/>
    <n v="1"/>
    <n v="7245"/>
    <n v="5.9200000762939498"/>
    <n v="5"/>
    <n v="40"/>
    <n v="195"/>
    <n v="2859"/>
  </r>
  <r>
    <x v="18"/>
    <x v="21"/>
    <x v="0"/>
    <n v="2"/>
    <n v="9454"/>
    <n v="7.6700000762939498"/>
    <n v="0"/>
    <n v="0"/>
    <n v="313"/>
    <n v="3145"/>
  </r>
  <r>
    <x v="18"/>
    <x v="22"/>
    <x v="1"/>
    <n v="3"/>
    <n v="8161"/>
    <n v="6.6199998855590803"/>
    <n v="4"/>
    <n v="15"/>
    <n v="251"/>
    <n v="3004"/>
  </r>
  <r>
    <x v="18"/>
    <x v="23"/>
    <x v="2"/>
    <n v="4"/>
    <n v="8614"/>
    <n v="6.9899997711181596"/>
    <n v="8"/>
    <n v="5"/>
    <n v="241"/>
    <n v="3006"/>
  </r>
  <r>
    <x v="18"/>
    <x v="24"/>
    <x v="3"/>
    <n v="5"/>
    <n v="6943"/>
    <n v="5.6300001144409197"/>
    <n v="1"/>
    <n v="16"/>
    <n v="207"/>
    <n v="2859"/>
  </r>
  <r>
    <x v="18"/>
    <x v="25"/>
    <x v="4"/>
    <n v="6"/>
    <n v="14370"/>
    <n v="11.6499996185303"/>
    <n v="5"/>
    <n v="46"/>
    <n v="439"/>
    <n v="3683"/>
  </r>
  <r>
    <x v="18"/>
    <x v="26"/>
    <x v="5"/>
    <n v="0"/>
    <n v="12857"/>
    <n v="10.430000305175801"/>
    <n v="9"/>
    <n v="125"/>
    <n v="192"/>
    <n v="3287"/>
  </r>
  <r>
    <x v="18"/>
    <x v="27"/>
    <x v="6"/>
    <n v="1"/>
    <n v="8232"/>
    <n v="6.6799998283386204"/>
    <n v="0"/>
    <n v="12"/>
    <n v="253"/>
    <n v="2990"/>
  </r>
  <r>
    <x v="18"/>
    <x v="28"/>
    <x v="0"/>
    <n v="2"/>
    <n v="10613"/>
    <n v="8.6099996566772496"/>
    <n v="1"/>
    <n v="37"/>
    <n v="262"/>
    <n v="3172"/>
  </r>
  <r>
    <x v="18"/>
    <x v="29"/>
    <x v="1"/>
    <n v="3"/>
    <n v="9810"/>
    <n v="7.96000003814697"/>
    <n v="10"/>
    <n v="41"/>
    <n v="235"/>
    <n v="3069"/>
  </r>
  <r>
    <x v="18"/>
    <x v="30"/>
    <x v="2"/>
    <n v="4"/>
    <n v="2752"/>
    <n v="2.2300000190734899"/>
    <n v="0"/>
    <n v="0"/>
    <n v="68"/>
    <n v="1240"/>
  </r>
  <r>
    <x v="19"/>
    <x v="0"/>
    <x v="0"/>
    <n v="2"/>
    <n v="11596"/>
    <n v="7.5700001716613796"/>
    <n v="19"/>
    <n v="13"/>
    <n v="277"/>
    <n v="2026"/>
  </r>
  <r>
    <x v="19"/>
    <x v="1"/>
    <x v="1"/>
    <n v="3"/>
    <n v="4832"/>
    <n v="3.1600000858306898"/>
    <n v="0"/>
    <n v="0"/>
    <n v="226"/>
    <n v="1718"/>
  </r>
  <r>
    <x v="19"/>
    <x v="2"/>
    <x v="2"/>
    <n v="4"/>
    <n v="17022"/>
    <n v="11.1199998855591"/>
    <n v="61"/>
    <n v="41"/>
    <n v="256"/>
    <n v="2324"/>
  </r>
  <r>
    <x v="19"/>
    <x v="3"/>
    <x v="3"/>
    <n v="5"/>
    <n v="16556"/>
    <n v="10.8599996566772"/>
    <n v="58"/>
    <n v="38"/>
    <n v="239"/>
    <n v="2254"/>
  </r>
  <r>
    <x v="19"/>
    <x v="4"/>
    <x v="4"/>
    <n v="6"/>
    <n v="5771"/>
    <n v="3.7699999809265101"/>
    <n v="0"/>
    <n v="0"/>
    <n v="288"/>
    <n v="1831"/>
  </r>
  <r>
    <x v="19"/>
    <x v="5"/>
    <x v="5"/>
    <n v="0"/>
    <n v="655"/>
    <n v="0.43000000715255698"/>
    <n v="0"/>
    <n v="0"/>
    <n v="46"/>
    <n v="1397"/>
  </r>
  <r>
    <x v="19"/>
    <x v="6"/>
    <x v="6"/>
    <n v="1"/>
    <n v="3727"/>
    <n v="2.4300000667571999"/>
    <n v="0"/>
    <n v="0"/>
    <n v="206"/>
    <n v="1683"/>
  </r>
  <r>
    <x v="19"/>
    <x v="7"/>
    <x v="0"/>
    <n v="2"/>
    <n v="15482"/>
    <n v="10.1099996566772"/>
    <n v="69"/>
    <n v="28"/>
    <n v="249"/>
    <n v="2284"/>
  </r>
  <r>
    <x v="19"/>
    <x v="8"/>
    <x v="1"/>
    <n v="3"/>
    <n v="2713"/>
    <n v="1.7699999809265099"/>
    <n v="0"/>
    <n v="0"/>
    <n v="148"/>
    <n v="1570"/>
  </r>
  <r>
    <x v="19"/>
    <x v="9"/>
    <x v="2"/>
    <n v="4"/>
    <n v="12346"/>
    <n v="8.0600004196166992"/>
    <n v="47"/>
    <n v="42"/>
    <n v="177"/>
    <n v="2066"/>
  </r>
  <r>
    <x v="19"/>
    <x v="10"/>
    <x v="3"/>
    <n v="5"/>
    <n v="11682"/>
    <n v="7.6300001144409197"/>
    <n v="25"/>
    <n v="16"/>
    <n v="270"/>
    <n v="2105"/>
  </r>
  <r>
    <x v="19"/>
    <x v="11"/>
    <x v="4"/>
    <n v="6"/>
    <n v="4112"/>
    <n v="2.6900000572204599"/>
    <n v="0"/>
    <n v="0"/>
    <n v="272"/>
    <n v="1776"/>
  </r>
  <r>
    <x v="19"/>
    <x v="12"/>
    <x v="5"/>
    <n v="0"/>
    <n v="1807"/>
    <n v="1.1799999475479099"/>
    <n v="0"/>
    <n v="0"/>
    <n v="104"/>
    <n v="1507"/>
  </r>
  <r>
    <x v="19"/>
    <x v="13"/>
    <x v="6"/>
    <n v="1"/>
    <n v="10946"/>
    <n v="7.1900000572204599"/>
    <n v="51"/>
    <n v="11"/>
    <n v="201"/>
    <n v="2033"/>
  </r>
  <r>
    <x v="19"/>
    <x v="14"/>
    <x v="0"/>
    <n v="2"/>
    <n v="11886"/>
    <n v="7.7600002288818404"/>
    <n v="40"/>
    <n v="18"/>
    <n v="238"/>
    <n v="2093"/>
  </r>
  <r>
    <x v="19"/>
    <x v="15"/>
    <x v="1"/>
    <n v="3"/>
    <n v="10538"/>
    <n v="6.8800001144409197"/>
    <n v="16"/>
    <n v="16"/>
    <n v="206"/>
    <n v="1922"/>
  </r>
  <r>
    <x v="19"/>
    <x v="16"/>
    <x v="2"/>
    <n v="4"/>
    <n v="11393"/>
    <n v="7.6300001144409197"/>
    <n v="49"/>
    <n v="13"/>
    <n v="165"/>
    <n v="1999"/>
  </r>
  <r>
    <x v="19"/>
    <x v="17"/>
    <x v="3"/>
    <n v="5"/>
    <n v="12764"/>
    <n v="8.3299999237060494"/>
    <n v="46"/>
    <n v="15"/>
    <n v="270"/>
    <n v="2169"/>
  </r>
  <r>
    <x v="19"/>
    <x v="18"/>
    <x v="4"/>
    <n v="6"/>
    <n v="1202"/>
    <n v="0.77999997138977095"/>
    <n v="0"/>
    <n v="0"/>
    <n v="84"/>
    <n v="1463"/>
  </r>
  <r>
    <x v="19"/>
    <x v="19"/>
    <x v="5"/>
    <n v="0"/>
    <n v="5164"/>
    <n v="3.3699998855590798"/>
    <n v="0"/>
    <n v="0"/>
    <n v="237"/>
    <n v="1747"/>
  </r>
  <r>
    <x v="19"/>
    <x v="20"/>
    <x v="6"/>
    <n v="1"/>
    <n v="9769"/>
    <n v="6.3800001144409197"/>
    <n v="23"/>
    <n v="9"/>
    <n v="227"/>
    <n v="1996"/>
  </r>
  <r>
    <x v="19"/>
    <x v="21"/>
    <x v="0"/>
    <n v="2"/>
    <n v="12848"/>
    <n v="8.3900003433227504"/>
    <n v="26"/>
    <n v="29"/>
    <n v="247"/>
    <n v="2116"/>
  </r>
  <r>
    <x v="19"/>
    <x v="22"/>
    <x v="1"/>
    <n v="3"/>
    <n v="4249"/>
    <n v="2.7699999809265101"/>
    <n v="0"/>
    <n v="0"/>
    <n v="224"/>
    <n v="1698"/>
  </r>
  <r>
    <x v="19"/>
    <x v="23"/>
    <x v="2"/>
    <n v="4"/>
    <n v="14331"/>
    <n v="9.5100002288818395"/>
    <n v="44"/>
    <n v="29"/>
    <n v="241"/>
    <n v="2156"/>
  </r>
  <r>
    <x v="19"/>
    <x v="24"/>
    <x v="3"/>
    <n v="5"/>
    <n v="9632"/>
    <n v="6.28999996185303"/>
    <n v="21"/>
    <n v="9"/>
    <n v="229"/>
    <n v="1916"/>
  </r>
  <r>
    <x v="19"/>
    <x v="25"/>
    <x v="4"/>
    <n v="6"/>
    <n v="1868"/>
    <n v="1.2200000286102299"/>
    <n v="0"/>
    <n v="0"/>
    <n v="96"/>
    <n v="1494"/>
  </r>
  <r>
    <x v="19"/>
    <x v="26"/>
    <x v="5"/>
    <n v="0"/>
    <n v="6083"/>
    <n v="4"/>
    <n v="3"/>
    <n v="8"/>
    <n v="210"/>
    <n v="1762"/>
  </r>
  <r>
    <x v="19"/>
    <x v="27"/>
    <x v="6"/>
    <n v="1"/>
    <n v="11611"/>
    <n v="7.5799999237060502"/>
    <n v="59"/>
    <n v="22"/>
    <n v="251"/>
    <n v="2272"/>
  </r>
  <r>
    <x v="19"/>
    <x v="28"/>
    <x v="0"/>
    <n v="2"/>
    <n v="16358"/>
    <n v="10.710000038146999"/>
    <n v="61"/>
    <n v="40"/>
    <n v="265"/>
    <n v="2335"/>
  </r>
  <r>
    <x v="19"/>
    <x v="29"/>
    <x v="1"/>
    <n v="3"/>
    <n v="4926"/>
    <n v="3.2200000286102299"/>
    <n v="0"/>
    <n v="0"/>
    <n v="195"/>
    <n v="1693"/>
  </r>
  <r>
    <x v="19"/>
    <x v="30"/>
    <x v="2"/>
    <n v="4"/>
    <n v="3121"/>
    <n v="2.03999996185303"/>
    <n v="8"/>
    <n v="6"/>
    <n v="48"/>
    <n v="741"/>
  </r>
  <r>
    <x v="20"/>
    <x v="0"/>
    <x v="0"/>
    <n v="2"/>
    <n v="8135"/>
    <n v="6.0799999237060502"/>
    <n v="86"/>
    <n v="16"/>
    <n v="140"/>
    <n v="3405"/>
  </r>
  <r>
    <x v="20"/>
    <x v="1"/>
    <x v="1"/>
    <n v="3"/>
    <n v="5077"/>
    <n v="3.78999996185303"/>
    <n v="15"/>
    <n v="11"/>
    <n v="144"/>
    <n v="2551"/>
  </r>
  <r>
    <x v="20"/>
    <x v="2"/>
    <x v="2"/>
    <n v="4"/>
    <n v="8596"/>
    <n v="6.4200000762939498"/>
    <n v="118"/>
    <n v="30"/>
    <n v="176"/>
    <n v="4022"/>
  </r>
  <r>
    <x v="20"/>
    <x v="3"/>
    <x v="3"/>
    <n v="5"/>
    <n v="12087"/>
    <n v="9.0799999237060494"/>
    <n v="115"/>
    <n v="54"/>
    <n v="199"/>
    <n v="4005"/>
  </r>
  <r>
    <x v="20"/>
    <x v="4"/>
    <x v="4"/>
    <n v="6"/>
    <n v="14269"/>
    <n v="10.6599998474121"/>
    <n v="184"/>
    <n v="56"/>
    <n v="158"/>
    <n v="4274"/>
  </r>
  <r>
    <x v="20"/>
    <x v="5"/>
    <x v="5"/>
    <n v="0"/>
    <n v="12231"/>
    <n v="9.1400003433227504"/>
    <n v="200"/>
    <n v="37"/>
    <n v="159"/>
    <n v="4552"/>
  </r>
  <r>
    <x v="20"/>
    <x v="6"/>
    <x v="6"/>
    <n v="1"/>
    <n v="9893"/>
    <n v="7.3899998664856001"/>
    <n v="114"/>
    <n v="32"/>
    <n v="130"/>
    <n v="3625"/>
  </r>
  <r>
    <x v="20"/>
    <x v="7"/>
    <x v="0"/>
    <n v="2"/>
    <n v="12574"/>
    <n v="9.4200000762939506"/>
    <n v="108"/>
    <n v="23"/>
    <n v="111"/>
    <n v="3501"/>
  </r>
  <r>
    <x v="20"/>
    <x v="8"/>
    <x v="1"/>
    <n v="3"/>
    <n v="8330"/>
    <n v="6.2199997901916504"/>
    <n v="87"/>
    <n v="16"/>
    <n v="113"/>
    <n v="3192"/>
  </r>
  <r>
    <x v="20"/>
    <x v="9"/>
    <x v="2"/>
    <n v="4"/>
    <n v="10830"/>
    <n v="8.0900001525878906"/>
    <n v="110"/>
    <n v="74"/>
    <n v="175"/>
    <n v="4018"/>
  </r>
  <r>
    <x v="20"/>
    <x v="10"/>
    <x v="3"/>
    <n v="5"/>
    <n v="9172"/>
    <n v="6.8499999046325701"/>
    <n v="62"/>
    <n v="30"/>
    <n v="200"/>
    <n v="3329"/>
  </r>
  <r>
    <x v="20"/>
    <x v="11"/>
    <x v="4"/>
    <n v="6"/>
    <n v="7638"/>
    <n v="5.71000003814697"/>
    <n v="24"/>
    <n v="24"/>
    <n v="223"/>
    <n v="3152"/>
  </r>
  <r>
    <x v="20"/>
    <x v="12"/>
    <x v="5"/>
    <n v="0"/>
    <n v="15764"/>
    <n v="11.7799997329712"/>
    <n v="210"/>
    <n v="65"/>
    <n v="141"/>
    <n v="4392"/>
  </r>
  <r>
    <x v="20"/>
    <x v="13"/>
    <x v="6"/>
    <n v="1"/>
    <n v="6393"/>
    <n v="4.7800002098083496"/>
    <n v="61"/>
    <n v="38"/>
    <n v="214"/>
    <n v="3374"/>
  </r>
  <r>
    <x v="20"/>
    <x v="14"/>
    <x v="0"/>
    <n v="2"/>
    <n v="5325"/>
    <n v="3.9800000190734899"/>
    <n v="38"/>
    <n v="32"/>
    <n v="181"/>
    <n v="3088"/>
  </r>
  <r>
    <x v="20"/>
    <x v="15"/>
    <x v="1"/>
    <n v="3"/>
    <n v="6805"/>
    <n v="5.1399998664856001"/>
    <n v="63"/>
    <n v="16"/>
    <n v="190"/>
    <n v="3294"/>
  </r>
  <r>
    <x v="20"/>
    <x v="16"/>
    <x v="2"/>
    <n v="4"/>
    <n v="9841"/>
    <n v="7.4299998283386204"/>
    <n v="99"/>
    <n v="51"/>
    <n v="141"/>
    <n v="3580"/>
  </r>
  <r>
    <x v="20"/>
    <x v="17"/>
    <x v="3"/>
    <n v="5"/>
    <n v="7924"/>
    <n v="5.9200000762939498"/>
    <n v="97"/>
    <n v="36"/>
    <n v="165"/>
    <n v="3544"/>
  </r>
  <r>
    <x v="20"/>
    <x v="18"/>
    <x v="4"/>
    <n v="6"/>
    <n v="12363"/>
    <n v="9.2399997711181605"/>
    <n v="207"/>
    <n v="45"/>
    <n v="163"/>
    <n v="4501"/>
  </r>
  <r>
    <x v="20"/>
    <x v="19"/>
    <x v="5"/>
    <n v="0"/>
    <n v="13368"/>
    <n v="9.9899997711181605"/>
    <n v="194"/>
    <n v="72"/>
    <n v="178"/>
    <n v="4546"/>
  </r>
  <r>
    <x v="20"/>
    <x v="20"/>
    <x v="6"/>
    <n v="1"/>
    <n v="7439"/>
    <n v="5.5599999427795401"/>
    <n v="37"/>
    <n v="20"/>
    <n v="235"/>
    <n v="3014"/>
  </r>
  <r>
    <x v="20"/>
    <x v="21"/>
    <x v="0"/>
    <n v="2"/>
    <n v="11045"/>
    <n v="8.25"/>
    <n v="97"/>
    <n v="8"/>
    <n v="212"/>
    <n v="3795"/>
  </r>
  <r>
    <x v="20"/>
    <x v="22"/>
    <x v="1"/>
    <n v="3"/>
    <n v="5206"/>
    <n v="3.8900001049041699"/>
    <n v="25"/>
    <n v="9"/>
    <n v="141"/>
    <n v="2755"/>
  </r>
  <r>
    <x v="20"/>
    <x v="23"/>
    <x v="2"/>
    <n v="4"/>
    <n v="7550"/>
    <n v="5.6399998664856001"/>
    <n v="45"/>
    <n v="21"/>
    <n v="143"/>
    <n v="3004"/>
  </r>
  <r>
    <x v="20"/>
    <x v="24"/>
    <x v="3"/>
    <n v="5"/>
    <n v="4950"/>
    <n v="3.7000000476837198"/>
    <n v="41"/>
    <n v="16"/>
    <n v="79"/>
    <n v="2643"/>
  </r>
  <r>
    <x v="20"/>
    <x v="25"/>
    <x v="4"/>
    <n v="6"/>
    <n v="0"/>
    <n v="0"/>
    <n v="0"/>
    <n v="0"/>
    <n v="0"/>
    <n v="1819"/>
  </r>
  <r>
    <x v="20"/>
    <x v="26"/>
    <x v="5"/>
    <n v="0"/>
    <n v="0"/>
    <n v="0"/>
    <n v="0"/>
    <n v="0"/>
    <n v="0"/>
    <n v="1819"/>
  </r>
  <r>
    <x v="20"/>
    <x v="27"/>
    <x v="6"/>
    <n v="1"/>
    <n v="3421"/>
    <n v="2.5599999427795401"/>
    <n v="34"/>
    <n v="11"/>
    <n v="70"/>
    <n v="2489"/>
  </r>
  <r>
    <x v="20"/>
    <x v="28"/>
    <x v="0"/>
    <n v="2"/>
    <n v="8869"/>
    <n v="6.6500000953674299"/>
    <n v="104"/>
    <n v="37"/>
    <n v="194"/>
    <n v="3841"/>
  </r>
  <r>
    <x v="20"/>
    <x v="29"/>
    <x v="1"/>
    <n v="3"/>
    <n v="4038"/>
    <n v="3.03999996185303"/>
    <n v="45"/>
    <n v="15"/>
    <n v="63"/>
    <n v="1665"/>
  </r>
  <r>
    <x v="21"/>
    <x v="0"/>
    <x v="0"/>
    <n v="2"/>
    <n v="0"/>
    <n v="0"/>
    <n v="0"/>
    <n v="0"/>
    <n v="0"/>
    <n v="1496"/>
  </r>
  <r>
    <x v="21"/>
    <x v="1"/>
    <x v="1"/>
    <n v="3"/>
    <n v="0"/>
    <n v="0"/>
    <n v="0"/>
    <n v="0"/>
    <n v="0"/>
    <n v="1496"/>
  </r>
  <r>
    <x v="21"/>
    <x v="2"/>
    <x v="2"/>
    <n v="4"/>
    <n v="0"/>
    <n v="0"/>
    <n v="0"/>
    <n v="0"/>
    <n v="0"/>
    <n v="1496"/>
  </r>
  <r>
    <x v="21"/>
    <x v="3"/>
    <x v="3"/>
    <n v="5"/>
    <n v="14019"/>
    <n v="10.5900001525879"/>
    <n v="0"/>
    <n v="6"/>
    <n v="513"/>
    <n v="2865"/>
  </r>
  <r>
    <x v="21"/>
    <x v="4"/>
    <x v="4"/>
    <n v="6"/>
    <n v="14450"/>
    <n v="10.9099998474121"/>
    <n v="7"/>
    <n v="15"/>
    <n v="518"/>
    <n v="2828"/>
  </r>
  <r>
    <x v="21"/>
    <x v="5"/>
    <x v="5"/>
    <n v="0"/>
    <n v="7150"/>
    <n v="5.4000000953674299"/>
    <n v="0"/>
    <n v="0"/>
    <n v="312"/>
    <n v="2225"/>
  </r>
  <r>
    <x v="21"/>
    <x v="6"/>
    <x v="6"/>
    <n v="1"/>
    <n v="5153"/>
    <n v="3.9100000858306898"/>
    <n v="0"/>
    <n v="0"/>
    <n v="241"/>
    <n v="2018"/>
  </r>
  <r>
    <x v="21"/>
    <x v="7"/>
    <x v="0"/>
    <n v="2"/>
    <n v="11135"/>
    <n v="8.4099998474121094"/>
    <n v="0"/>
    <n v="0"/>
    <n v="480"/>
    <n v="2606"/>
  </r>
  <r>
    <x v="21"/>
    <x v="8"/>
    <x v="1"/>
    <n v="3"/>
    <n v="10449"/>
    <n v="8.0200004577636701"/>
    <n v="26"/>
    <n v="10"/>
    <n v="349"/>
    <n v="2536"/>
  </r>
  <r>
    <x v="21"/>
    <x v="9"/>
    <x v="2"/>
    <n v="4"/>
    <n v="19542"/>
    <n v="15.0100002288818"/>
    <n v="11"/>
    <n v="19"/>
    <n v="294"/>
    <n v="4900"/>
  </r>
  <r>
    <x v="21"/>
    <x v="10"/>
    <x v="3"/>
    <n v="5"/>
    <n v="8206"/>
    <n v="6.1999998092651403"/>
    <n v="0"/>
    <n v="0"/>
    <n v="402"/>
    <n v="2409"/>
  </r>
  <r>
    <x v="21"/>
    <x v="11"/>
    <x v="4"/>
    <n v="6"/>
    <n v="11495"/>
    <n v="8.6800003051757795"/>
    <n v="0"/>
    <n v="0"/>
    <n v="512"/>
    <n v="2651"/>
  </r>
  <r>
    <x v="21"/>
    <x v="12"/>
    <x v="5"/>
    <n v="0"/>
    <n v="7623"/>
    <n v="5.7600002288818404"/>
    <n v="0"/>
    <n v="0"/>
    <n v="362"/>
    <n v="2305"/>
  </r>
  <r>
    <x v="21"/>
    <x v="13"/>
    <x v="6"/>
    <n v="1"/>
    <n v="0"/>
    <n v="0"/>
    <n v="0"/>
    <n v="0"/>
    <n v="0"/>
    <n v="1497"/>
  </r>
  <r>
    <x v="21"/>
    <x v="14"/>
    <x v="0"/>
    <n v="2"/>
    <n v="9543"/>
    <n v="7.21000003814697"/>
    <n v="0"/>
    <n v="7"/>
    <n v="352"/>
    <n v="2450"/>
  </r>
  <r>
    <x v="21"/>
    <x v="15"/>
    <x v="1"/>
    <n v="3"/>
    <n v="9411"/>
    <n v="7.1100001335143999"/>
    <n v="0"/>
    <n v="0"/>
    <n v="458"/>
    <n v="2576"/>
  </r>
  <r>
    <x v="21"/>
    <x v="16"/>
    <x v="2"/>
    <n v="4"/>
    <n v="3403"/>
    <n v="2.5999999046325701"/>
    <n v="0"/>
    <n v="0"/>
    <n v="141"/>
    <n v="1879"/>
  </r>
  <r>
    <x v="21"/>
    <x v="17"/>
    <x v="3"/>
    <n v="5"/>
    <n v="9592"/>
    <n v="7.2399997711181596"/>
    <n v="0"/>
    <n v="0"/>
    <n v="461"/>
    <n v="2560"/>
  </r>
  <r>
    <x v="21"/>
    <x v="18"/>
    <x v="4"/>
    <n v="6"/>
    <n v="6987"/>
    <n v="5.2800002098083496"/>
    <n v="0"/>
    <n v="0"/>
    <n v="343"/>
    <n v="2275"/>
  </r>
  <r>
    <x v="21"/>
    <x v="19"/>
    <x v="5"/>
    <n v="0"/>
    <n v="8915"/>
    <n v="6.7300000190734899"/>
    <n v="0"/>
    <n v="0"/>
    <n v="397"/>
    <n v="2361"/>
  </r>
  <r>
    <x v="21"/>
    <x v="20"/>
    <x v="6"/>
    <n v="1"/>
    <n v="4933"/>
    <n v="3.7300000190734899"/>
    <n v="0"/>
    <n v="0"/>
    <n v="236"/>
    <n v="2044"/>
  </r>
  <r>
    <x v="21"/>
    <x v="21"/>
    <x v="0"/>
    <n v="2"/>
    <n v="0"/>
    <n v="0"/>
    <n v="0"/>
    <n v="0"/>
    <n v="0"/>
    <n v="1496"/>
  </r>
  <r>
    <x v="21"/>
    <x v="22"/>
    <x v="1"/>
    <n v="3"/>
    <n v="2997"/>
    <n v="2.2599999904632599"/>
    <n v="0"/>
    <n v="0"/>
    <n v="156"/>
    <n v="1902"/>
  </r>
  <r>
    <x v="21"/>
    <x v="23"/>
    <x v="2"/>
    <n v="4"/>
    <n v="9799"/>
    <n v="7.4000000953674299"/>
    <n v="0"/>
    <n v="0"/>
    <n v="487"/>
    <n v="2636"/>
  </r>
  <r>
    <x v="21"/>
    <x v="24"/>
    <x v="3"/>
    <n v="5"/>
    <n v="3365"/>
    <n v="2.6800000667571999"/>
    <n v="0"/>
    <n v="0"/>
    <n v="133"/>
    <n v="1838"/>
  </r>
  <r>
    <x v="21"/>
    <x v="25"/>
    <x v="4"/>
    <n v="6"/>
    <n v="7336"/>
    <n v="5.53999996185303"/>
    <n v="0"/>
    <n v="0"/>
    <n v="412"/>
    <n v="2469"/>
  </r>
  <r>
    <x v="21"/>
    <x v="26"/>
    <x v="5"/>
    <n v="0"/>
    <n v="7328"/>
    <n v="5.5300002098083496"/>
    <n v="0"/>
    <n v="0"/>
    <n v="318"/>
    <n v="2250"/>
  </r>
  <r>
    <x v="21"/>
    <x v="27"/>
    <x v="6"/>
    <n v="1"/>
    <n v="4477"/>
    <n v="3.3800001144409202"/>
    <n v="0"/>
    <n v="0"/>
    <n v="197"/>
    <n v="1248"/>
  </r>
  <r>
    <x v="22"/>
    <x v="0"/>
    <x v="0"/>
    <n v="2"/>
    <n v="4562"/>
    <n v="3.4500000476837198"/>
    <n v="0"/>
    <n v="0"/>
    <n v="199"/>
    <n v="2560"/>
  </r>
  <r>
    <x v="22"/>
    <x v="1"/>
    <x v="1"/>
    <n v="3"/>
    <n v="7142"/>
    <n v="5.4000000953674299"/>
    <n v="0"/>
    <n v="0"/>
    <n v="350"/>
    <n v="2905"/>
  </r>
  <r>
    <x v="22"/>
    <x v="2"/>
    <x v="2"/>
    <n v="4"/>
    <n v="7671"/>
    <n v="5.8000001907348597"/>
    <n v="0"/>
    <n v="0"/>
    <n v="363"/>
    <n v="2952"/>
  </r>
  <r>
    <x v="22"/>
    <x v="3"/>
    <x v="3"/>
    <n v="5"/>
    <n v="9501"/>
    <n v="7.1799998283386204"/>
    <n v="0"/>
    <n v="0"/>
    <n v="328"/>
    <n v="2896"/>
  </r>
  <r>
    <x v="22"/>
    <x v="4"/>
    <x v="4"/>
    <n v="6"/>
    <n v="8301"/>
    <n v="6.2800002098083496"/>
    <n v="0"/>
    <n v="0"/>
    <n v="258"/>
    <n v="2783"/>
  </r>
  <r>
    <x v="22"/>
    <x v="5"/>
    <x v="5"/>
    <n v="0"/>
    <n v="7851"/>
    <n v="5.9400000572204599"/>
    <n v="31"/>
    <n v="12"/>
    <n v="225"/>
    <n v="3171"/>
  </r>
  <r>
    <x v="22"/>
    <x v="6"/>
    <x v="6"/>
    <n v="1"/>
    <n v="6885"/>
    <n v="5.21000003814697"/>
    <n v="0"/>
    <n v="0"/>
    <n v="271"/>
    <n v="2766"/>
  </r>
  <r>
    <x v="22"/>
    <x v="7"/>
    <x v="0"/>
    <n v="2"/>
    <n v="7142"/>
    <n v="5.4000000953674299"/>
    <n v="0"/>
    <n v="0"/>
    <n v="321"/>
    <n v="2839"/>
  </r>
  <r>
    <x v="22"/>
    <x v="8"/>
    <x v="1"/>
    <n v="3"/>
    <n v="6361"/>
    <n v="4.8099999427795401"/>
    <n v="0"/>
    <n v="0"/>
    <n v="258"/>
    <n v="2701"/>
  </r>
  <r>
    <x v="22"/>
    <x v="9"/>
    <x v="2"/>
    <n v="4"/>
    <n v="0"/>
    <n v="0"/>
    <n v="0"/>
    <n v="0"/>
    <n v="0"/>
    <n v="2060"/>
  </r>
  <r>
    <x v="22"/>
    <x v="10"/>
    <x v="3"/>
    <n v="5"/>
    <n v="6238"/>
    <n v="4.7199997901916504"/>
    <n v="0"/>
    <n v="0"/>
    <n v="302"/>
    <n v="2796"/>
  </r>
  <r>
    <x v="22"/>
    <x v="11"/>
    <x v="4"/>
    <n v="6"/>
    <n v="0"/>
    <n v="0"/>
    <n v="33"/>
    <n v="0"/>
    <n v="0"/>
    <n v="2664"/>
  </r>
  <r>
    <x v="22"/>
    <x v="12"/>
    <x v="5"/>
    <n v="0"/>
    <n v="5896"/>
    <n v="4.46000003814697"/>
    <n v="0"/>
    <n v="0"/>
    <n v="258"/>
    <n v="2703"/>
  </r>
  <r>
    <x v="22"/>
    <x v="13"/>
    <x v="6"/>
    <n v="1"/>
    <n v="7802"/>
    <n v="5.9000000953674299"/>
    <n v="8"/>
    <n v="3"/>
    <n v="249"/>
    <n v="2771"/>
  </r>
  <r>
    <x v="22"/>
    <x v="14"/>
    <x v="0"/>
    <n v="2"/>
    <n v="0"/>
    <n v="0"/>
    <n v="0"/>
    <n v="0"/>
    <n v="0"/>
    <n v="2060"/>
  </r>
  <r>
    <x v="22"/>
    <x v="15"/>
    <x v="1"/>
    <n v="3"/>
    <n v="5565"/>
    <n v="4.21000003814697"/>
    <n v="0"/>
    <n v="0"/>
    <n v="287"/>
    <n v="2743"/>
  </r>
  <r>
    <x v="22"/>
    <x v="16"/>
    <x v="2"/>
    <n v="4"/>
    <n v="5731"/>
    <n v="4.3299999237060502"/>
    <n v="0"/>
    <n v="0"/>
    <n v="255"/>
    <n v="2687"/>
  </r>
  <r>
    <x v="22"/>
    <x v="17"/>
    <x v="3"/>
    <n v="5"/>
    <n v="0"/>
    <n v="0"/>
    <n v="0"/>
    <n v="0"/>
    <n v="0"/>
    <n v="2060"/>
  </r>
  <r>
    <x v="22"/>
    <x v="18"/>
    <x v="4"/>
    <n v="6"/>
    <n v="6744"/>
    <n v="5.0999999046325701"/>
    <n v="0"/>
    <n v="0"/>
    <n v="324"/>
    <n v="2843"/>
  </r>
  <r>
    <x v="22"/>
    <x v="19"/>
    <x v="5"/>
    <n v="0"/>
    <n v="9837"/>
    <n v="7.4400000572204599"/>
    <n v="8"/>
    <n v="95"/>
    <n v="282"/>
    <n v="3327"/>
  </r>
  <r>
    <x v="22"/>
    <x v="20"/>
    <x v="6"/>
    <n v="1"/>
    <n v="6781"/>
    <n v="5.1300001144409197"/>
    <n v="0"/>
    <n v="0"/>
    <n v="268"/>
    <n v="2725"/>
  </r>
  <r>
    <x v="22"/>
    <x v="21"/>
    <x v="0"/>
    <n v="2"/>
    <n v="6047"/>
    <n v="4.5700001716613796"/>
    <n v="0"/>
    <n v="0"/>
    <n v="240"/>
    <n v="2671"/>
  </r>
  <r>
    <x v="22"/>
    <x v="22"/>
    <x v="1"/>
    <n v="3"/>
    <n v="5832"/>
    <n v="4.4099998474121103"/>
    <n v="0"/>
    <n v="0"/>
    <n v="272"/>
    <n v="2718"/>
  </r>
  <r>
    <x v="22"/>
    <x v="23"/>
    <x v="2"/>
    <n v="4"/>
    <n v="6339"/>
    <n v="4.78999996185303"/>
    <n v="0"/>
    <n v="0"/>
    <n v="239"/>
    <n v="2682"/>
  </r>
  <r>
    <x v="22"/>
    <x v="24"/>
    <x v="3"/>
    <n v="5"/>
    <n v="6116"/>
    <n v="4.6199998855590803"/>
    <n v="0"/>
    <n v="0"/>
    <n v="305"/>
    <n v="2806"/>
  </r>
  <r>
    <x v="22"/>
    <x v="25"/>
    <x v="4"/>
    <n v="6"/>
    <n v="5510"/>
    <n v="4.1700000762939498"/>
    <n v="0"/>
    <n v="0"/>
    <n v="227"/>
    <n v="2613"/>
  </r>
  <r>
    <x v="22"/>
    <x v="26"/>
    <x v="5"/>
    <n v="0"/>
    <n v="7706"/>
    <n v="5.8299999237060502"/>
    <n v="0"/>
    <n v="0"/>
    <n v="251"/>
    <n v="2712"/>
  </r>
  <r>
    <x v="22"/>
    <x v="27"/>
    <x v="6"/>
    <n v="1"/>
    <n v="6277"/>
    <n v="4.75"/>
    <n v="0"/>
    <n v="0"/>
    <n v="264"/>
    <n v="2175"/>
  </r>
  <r>
    <x v="22"/>
    <x v="28"/>
    <x v="0"/>
    <n v="2"/>
    <n v="0"/>
    <n v="0"/>
    <n v="0"/>
    <n v="0"/>
    <n v="0"/>
    <n v="0"/>
  </r>
  <r>
    <x v="23"/>
    <x v="0"/>
    <x v="0"/>
    <n v="2"/>
    <n v="0"/>
    <n v="0"/>
    <n v="0"/>
    <n v="0"/>
    <n v="0"/>
    <n v="1841"/>
  </r>
  <r>
    <x v="23"/>
    <x v="1"/>
    <x v="1"/>
    <n v="3"/>
    <n v="4053"/>
    <n v="2.9100000858306898"/>
    <n v="17"/>
    <n v="18"/>
    <n v="85"/>
    <n v="2400"/>
  </r>
  <r>
    <x v="23"/>
    <x v="2"/>
    <x v="2"/>
    <n v="4"/>
    <n v="5162"/>
    <n v="3.7000000476837198"/>
    <n v="14"/>
    <n v="24"/>
    <n v="105"/>
    <n v="2507"/>
  </r>
  <r>
    <x v="23"/>
    <x v="3"/>
    <x v="3"/>
    <n v="5"/>
    <n v="1282"/>
    <n v="0.92000001668930098"/>
    <n v="0"/>
    <n v="0"/>
    <n v="58"/>
    <n v="2127"/>
  </r>
  <r>
    <x v="23"/>
    <x v="4"/>
    <x v="4"/>
    <n v="6"/>
    <n v="4732"/>
    <n v="3.3900001049041699"/>
    <n v="36"/>
    <n v="18"/>
    <n v="9"/>
    <n v="2225"/>
  </r>
  <r>
    <x v="23"/>
    <x v="5"/>
    <x v="5"/>
    <n v="0"/>
    <n v="2497"/>
    <n v="1.78999996185303"/>
    <n v="5"/>
    <n v="24"/>
    <n v="19"/>
    <n v="2067"/>
  </r>
  <r>
    <x v="23"/>
    <x v="6"/>
    <x v="6"/>
    <n v="1"/>
    <n v="8294"/>
    <n v="5.9499998092651403"/>
    <n v="30"/>
    <n v="31"/>
    <n v="146"/>
    <n v="2798"/>
  </r>
  <r>
    <x v="23"/>
    <x v="7"/>
    <x v="0"/>
    <n v="2"/>
    <n v="0"/>
    <n v="0"/>
    <n v="0"/>
    <n v="0"/>
    <n v="0"/>
    <n v="1841"/>
  </r>
  <r>
    <x v="23"/>
    <x v="8"/>
    <x v="1"/>
    <n v="3"/>
    <n v="10771"/>
    <n v="7.7199997901916504"/>
    <n v="70"/>
    <n v="113"/>
    <n v="178"/>
    <n v="3727"/>
  </r>
  <r>
    <x v="23"/>
    <x v="9"/>
    <x v="2"/>
    <n v="4"/>
    <n v="0"/>
    <n v="0"/>
    <n v="0"/>
    <n v="0"/>
    <n v="0"/>
    <n v="1841"/>
  </r>
  <r>
    <x v="23"/>
    <x v="10"/>
    <x v="3"/>
    <n v="5"/>
    <n v="637"/>
    <n v="0.46000000834464999"/>
    <n v="0"/>
    <n v="0"/>
    <n v="20"/>
    <n v="1922"/>
  </r>
  <r>
    <x v="23"/>
    <x v="11"/>
    <x v="4"/>
    <n v="6"/>
    <n v="0"/>
    <n v="0"/>
    <n v="0"/>
    <n v="0"/>
    <n v="0"/>
    <n v="1841"/>
  </r>
  <r>
    <x v="23"/>
    <x v="12"/>
    <x v="5"/>
    <n v="0"/>
    <n v="2153"/>
    <n v="1.53999996185303"/>
    <n v="11"/>
    <n v="18"/>
    <n v="11"/>
    <n v="2053"/>
  </r>
  <r>
    <x v="23"/>
    <x v="13"/>
    <x v="6"/>
    <n v="1"/>
    <n v="6474"/>
    <n v="4.6399998664856001"/>
    <n v="33"/>
    <n v="13"/>
    <n v="92"/>
    <n v="2484"/>
  </r>
  <r>
    <x v="23"/>
    <x v="14"/>
    <x v="0"/>
    <n v="2"/>
    <n v="7091"/>
    <n v="5.2699999809265101"/>
    <n v="42"/>
    <n v="30"/>
    <n v="47"/>
    <n v="2584"/>
  </r>
  <r>
    <x v="23"/>
    <x v="15"/>
    <x v="1"/>
    <n v="3"/>
    <n v="0"/>
    <n v="0"/>
    <n v="0"/>
    <n v="0"/>
    <n v="0"/>
    <n v="1841"/>
  </r>
  <r>
    <x v="23"/>
    <x v="16"/>
    <x v="2"/>
    <n v="4"/>
    <n v="703"/>
    <n v="0.5"/>
    <n v="2"/>
    <n v="13"/>
    <n v="15"/>
    <n v="1993"/>
  </r>
  <r>
    <x v="23"/>
    <x v="17"/>
    <x v="3"/>
    <n v="5"/>
    <n v="0"/>
    <n v="0"/>
    <n v="0"/>
    <n v="0"/>
    <n v="0"/>
    <n v="1841"/>
  </r>
  <r>
    <x v="23"/>
    <x v="18"/>
    <x v="4"/>
    <n v="6"/>
    <n v="2503"/>
    <n v="1.78999996185303"/>
    <n v="3"/>
    <n v="9"/>
    <n v="84"/>
    <n v="2280"/>
  </r>
  <r>
    <x v="23"/>
    <x v="19"/>
    <x v="5"/>
    <n v="0"/>
    <n v="2487"/>
    <n v="1.7799999713897701"/>
    <n v="9"/>
    <n v="34"/>
    <n v="50"/>
    <n v="2319"/>
  </r>
  <r>
    <x v="23"/>
    <x v="20"/>
    <x v="6"/>
    <n v="1"/>
    <n v="0"/>
    <n v="0"/>
    <n v="0"/>
    <n v="0"/>
    <n v="0"/>
    <n v="1841"/>
  </r>
  <r>
    <x v="23"/>
    <x v="21"/>
    <x v="0"/>
    <n v="2"/>
    <n v="9"/>
    <n v="9.9999997764825804E-3"/>
    <n v="0"/>
    <n v="0"/>
    <n v="1"/>
    <n v="1843"/>
  </r>
  <r>
    <x v="23"/>
    <x v="22"/>
    <x v="1"/>
    <n v="3"/>
    <n v="0"/>
    <n v="0"/>
    <n v="0"/>
    <n v="0"/>
    <n v="0"/>
    <n v="1841"/>
  </r>
  <r>
    <x v="23"/>
    <x v="23"/>
    <x v="2"/>
    <n v="4"/>
    <n v="0"/>
    <n v="0"/>
    <n v="0"/>
    <n v="0"/>
    <n v="0"/>
    <n v="1841"/>
  </r>
  <r>
    <x v="23"/>
    <x v="24"/>
    <x v="3"/>
    <n v="5"/>
    <n v="4697"/>
    <n v="3.3699998855590798"/>
    <n v="12"/>
    <n v="35"/>
    <n v="75"/>
    <n v="2496"/>
  </r>
  <r>
    <x v="23"/>
    <x v="25"/>
    <x v="4"/>
    <n v="6"/>
    <n v="1967"/>
    <n v="1.4099999666214"/>
    <n v="2"/>
    <n v="5"/>
    <n v="49"/>
    <n v="1032"/>
  </r>
  <r>
    <x v="24"/>
    <x v="0"/>
    <x v="0"/>
    <n v="2"/>
    <n v="10199"/>
    <n v="6.7399997711181596"/>
    <n v="50"/>
    <n v="14"/>
    <n v="189"/>
    <n v="1994"/>
  </r>
  <r>
    <x v="24"/>
    <x v="1"/>
    <x v="1"/>
    <n v="3"/>
    <n v="5652"/>
    <n v="3.7400000095367401"/>
    <n v="8"/>
    <n v="24"/>
    <n v="142"/>
    <n v="1718"/>
  </r>
  <r>
    <x v="24"/>
    <x v="2"/>
    <x v="2"/>
    <n v="4"/>
    <n v="1551"/>
    <n v="1.0299999713897701"/>
    <n v="0"/>
    <n v="0"/>
    <n v="86"/>
    <n v="1466"/>
  </r>
  <r>
    <x v="24"/>
    <x v="3"/>
    <x v="3"/>
    <n v="5"/>
    <n v="5563"/>
    <n v="3.6800000667571999"/>
    <n v="0"/>
    <n v="0"/>
    <n v="217"/>
    <n v="1756"/>
  </r>
  <r>
    <x v="24"/>
    <x v="4"/>
    <x v="4"/>
    <n v="6"/>
    <n v="13217"/>
    <n v="8.7399997711181605"/>
    <n v="50"/>
    <n v="3"/>
    <n v="280"/>
    <n v="2173"/>
  </r>
  <r>
    <x v="24"/>
    <x v="5"/>
    <x v="5"/>
    <n v="0"/>
    <n v="10145"/>
    <n v="6.71000003814697"/>
    <n v="5"/>
    <n v="13"/>
    <n v="295"/>
    <n v="2027"/>
  </r>
  <r>
    <x v="24"/>
    <x v="6"/>
    <x v="6"/>
    <n v="1"/>
    <n v="11404"/>
    <n v="7.53999996185303"/>
    <n v="13"/>
    <n v="42"/>
    <n v="238"/>
    <n v="2039"/>
  </r>
  <r>
    <x v="24"/>
    <x v="7"/>
    <x v="0"/>
    <n v="2"/>
    <n v="10742"/>
    <n v="7.0999999046325701"/>
    <n v="35"/>
    <n v="41"/>
    <n v="195"/>
    <n v="2046"/>
  </r>
  <r>
    <x v="24"/>
    <x v="8"/>
    <x v="1"/>
    <n v="3"/>
    <n v="13928"/>
    <n v="9.5500001907348597"/>
    <n v="48"/>
    <n v="4"/>
    <n v="297"/>
    <n v="2174"/>
  </r>
  <r>
    <x v="24"/>
    <x v="9"/>
    <x v="2"/>
    <n v="4"/>
    <n v="11835"/>
    <n v="9.7100000381469709"/>
    <n v="53"/>
    <n v="27"/>
    <n v="214"/>
    <n v="2179"/>
  </r>
  <r>
    <x v="24"/>
    <x v="10"/>
    <x v="3"/>
    <n v="5"/>
    <n v="10725"/>
    <n v="7.0900001525878897"/>
    <n v="30"/>
    <n v="33"/>
    <n v="240"/>
    <n v="2086"/>
  </r>
  <r>
    <x v="24"/>
    <x v="11"/>
    <x v="4"/>
    <n v="6"/>
    <n v="20031"/>
    <n v="13.2399997711182"/>
    <n v="58"/>
    <n v="41"/>
    <n v="347"/>
    <n v="2571"/>
  </r>
  <r>
    <x v="24"/>
    <x v="12"/>
    <x v="5"/>
    <n v="0"/>
    <n v="5029"/>
    <n v="3.3199999332428001"/>
    <n v="0"/>
    <n v="0"/>
    <n v="199"/>
    <n v="1705"/>
  </r>
  <r>
    <x v="24"/>
    <x v="13"/>
    <x v="6"/>
    <n v="1"/>
    <n v="13239"/>
    <n v="9.2700004577636701"/>
    <n v="35"/>
    <n v="31"/>
    <n v="282"/>
    <n v="2194"/>
  </r>
  <r>
    <x v="24"/>
    <x v="14"/>
    <x v="0"/>
    <n v="2"/>
    <n v="10433"/>
    <n v="6.9000000953674299"/>
    <n v="36"/>
    <n v="7"/>
    <n v="254"/>
    <n v="2012"/>
  </r>
  <r>
    <x v="24"/>
    <x v="15"/>
    <x v="1"/>
    <n v="3"/>
    <n v="10320"/>
    <n v="6.8200001716613796"/>
    <n v="7"/>
    <n v="38"/>
    <n v="279"/>
    <n v="2034"/>
  </r>
  <r>
    <x v="24"/>
    <x v="16"/>
    <x v="2"/>
    <n v="4"/>
    <n v="12627"/>
    <n v="8.3500003814697301"/>
    <n v="38"/>
    <n v="8"/>
    <n v="288"/>
    <n v="2182"/>
  </r>
  <r>
    <x v="24"/>
    <x v="17"/>
    <x v="3"/>
    <n v="5"/>
    <n v="10762"/>
    <n v="7.1100001335143999"/>
    <n v="12"/>
    <n v="15"/>
    <n v="369"/>
    <n v="2254"/>
  </r>
  <r>
    <x v="24"/>
    <x v="18"/>
    <x v="4"/>
    <n v="6"/>
    <n v="10081"/>
    <n v="6.6599998474121103"/>
    <n v="32"/>
    <n v="16"/>
    <n v="237"/>
    <n v="2002"/>
  </r>
  <r>
    <x v="24"/>
    <x v="19"/>
    <x v="5"/>
    <n v="0"/>
    <n v="5454"/>
    <n v="3.6099998950958301"/>
    <n v="0"/>
    <n v="0"/>
    <n v="215"/>
    <n v="1740"/>
  </r>
  <r>
    <x v="24"/>
    <x v="20"/>
    <x v="6"/>
    <n v="1"/>
    <n v="12912"/>
    <n v="8.5399999618530291"/>
    <n v="18"/>
    <n v="39"/>
    <n v="313"/>
    <n v="2162"/>
  </r>
  <r>
    <x v="24"/>
    <x v="21"/>
    <x v="0"/>
    <n v="2"/>
    <n v="12109"/>
    <n v="8.1199998855590803"/>
    <n v="21"/>
    <n v="36"/>
    <n v="267"/>
    <n v="2072"/>
  </r>
  <r>
    <x v="24"/>
    <x v="22"/>
    <x v="1"/>
    <n v="3"/>
    <n v="10147"/>
    <n v="6.71000003814697"/>
    <n v="15"/>
    <n v="36"/>
    <n v="284"/>
    <n v="2086"/>
  </r>
  <r>
    <x v="24"/>
    <x v="23"/>
    <x v="2"/>
    <n v="4"/>
    <n v="10524"/>
    <n v="6.96000003814697"/>
    <n v="14"/>
    <n v="22"/>
    <n v="305"/>
    <n v="2066"/>
  </r>
  <r>
    <x v="24"/>
    <x v="24"/>
    <x v="3"/>
    <n v="5"/>
    <n v="5908"/>
    <n v="3.9100000858306898"/>
    <n v="0"/>
    <n v="0"/>
    <n v="299"/>
    <n v="1850"/>
  </r>
  <r>
    <x v="24"/>
    <x v="25"/>
    <x v="4"/>
    <n v="6"/>
    <n v="6815"/>
    <n v="4.5"/>
    <n v="0"/>
    <n v="0"/>
    <n v="328"/>
    <n v="1947"/>
  </r>
  <r>
    <x v="24"/>
    <x v="26"/>
    <x v="5"/>
    <n v="0"/>
    <n v="4188"/>
    <n v="2.7699999809265101"/>
    <n v="0"/>
    <n v="14"/>
    <n v="151"/>
    <n v="1659"/>
  </r>
  <r>
    <x v="24"/>
    <x v="27"/>
    <x v="6"/>
    <n v="1"/>
    <n v="12342"/>
    <n v="8.7200002670288104"/>
    <n v="43"/>
    <n v="21"/>
    <n v="231"/>
    <n v="2105"/>
  </r>
  <r>
    <x v="24"/>
    <x v="28"/>
    <x v="0"/>
    <n v="2"/>
    <n v="15448"/>
    <n v="10.210000038146999"/>
    <n v="62"/>
    <n v="34"/>
    <n v="275"/>
    <n v="2361"/>
  </r>
  <r>
    <x v="24"/>
    <x v="29"/>
    <x v="1"/>
    <n v="3"/>
    <n v="6722"/>
    <n v="4.4400000572204599"/>
    <n v="24"/>
    <n v="7"/>
    <n v="199"/>
    <n v="1855"/>
  </r>
  <r>
    <x v="24"/>
    <x v="30"/>
    <x v="2"/>
    <n v="4"/>
    <n v="3587"/>
    <n v="2.3699998855590798"/>
    <n v="0"/>
    <n v="8"/>
    <n v="105"/>
    <n v="928"/>
  </r>
  <r>
    <x v="25"/>
    <x v="0"/>
    <x v="0"/>
    <n v="2"/>
    <n v="14172"/>
    <n v="10.289999961853001"/>
    <n v="53"/>
    <n v="8"/>
    <n v="355"/>
    <n v="2937"/>
  </r>
  <r>
    <x v="25"/>
    <x v="1"/>
    <x v="1"/>
    <n v="3"/>
    <n v="12862"/>
    <n v="9.6499996185302699"/>
    <n v="56"/>
    <n v="22"/>
    <n v="261"/>
    <n v="2742"/>
  </r>
  <r>
    <x v="25"/>
    <x v="2"/>
    <x v="2"/>
    <n v="4"/>
    <n v="11179"/>
    <n v="8.2399997711181605"/>
    <n v="34"/>
    <n v="6"/>
    <n v="304"/>
    <n v="2668"/>
  </r>
  <r>
    <x v="25"/>
    <x v="3"/>
    <x v="3"/>
    <n v="5"/>
    <n v="5273"/>
    <n v="3.5299999713897701"/>
    <n v="0"/>
    <n v="0"/>
    <n v="202"/>
    <n v="2098"/>
  </r>
  <r>
    <x v="25"/>
    <x v="4"/>
    <x v="4"/>
    <n v="6"/>
    <n v="4631"/>
    <n v="3.0999999046325701"/>
    <n v="0"/>
    <n v="0"/>
    <n v="203"/>
    <n v="2076"/>
  </r>
  <r>
    <x v="25"/>
    <x v="5"/>
    <x v="5"/>
    <n v="0"/>
    <n v="8059"/>
    <n v="5.3899998664856001"/>
    <n v="0"/>
    <n v="0"/>
    <n v="305"/>
    <n v="2383"/>
  </r>
  <r>
    <x v="25"/>
    <x v="6"/>
    <x v="6"/>
    <n v="1"/>
    <n v="14816"/>
    <n v="10.9799995422363"/>
    <n v="48"/>
    <n v="31"/>
    <n v="284"/>
    <n v="2832"/>
  </r>
  <r>
    <x v="25"/>
    <x v="7"/>
    <x v="0"/>
    <n v="2"/>
    <n v="14194"/>
    <n v="10.4799995422363"/>
    <n v="53"/>
    <n v="17"/>
    <n v="304"/>
    <n v="2812"/>
  </r>
  <r>
    <x v="25"/>
    <x v="8"/>
    <x v="1"/>
    <n v="3"/>
    <n v="15566"/>
    <n v="11.310000419616699"/>
    <n v="60"/>
    <n v="33"/>
    <n v="347"/>
    <n v="3096"/>
  </r>
  <r>
    <x v="25"/>
    <x v="9"/>
    <x v="2"/>
    <n v="4"/>
    <n v="13744"/>
    <n v="9.1899995803833008"/>
    <n v="30"/>
    <n v="34"/>
    <n v="327"/>
    <n v="2763"/>
  </r>
  <r>
    <x v="25"/>
    <x v="10"/>
    <x v="3"/>
    <n v="5"/>
    <n v="15299"/>
    <n v="10.2399997711182"/>
    <n v="64"/>
    <n v="50"/>
    <n v="261"/>
    <n v="2889"/>
  </r>
  <r>
    <x v="25"/>
    <x v="11"/>
    <x v="4"/>
    <n v="6"/>
    <n v="8093"/>
    <n v="5.4099998474121103"/>
    <n v="2"/>
    <n v="25"/>
    <n v="223"/>
    <n v="2284"/>
  </r>
  <r>
    <x v="25"/>
    <x v="12"/>
    <x v="5"/>
    <n v="0"/>
    <n v="11085"/>
    <n v="7.4200000762939498"/>
    <n v="0"/>
    <n v="0"/>
    <n v="419"/>
    <n v="2667"/>
  </r>
  <r>
    <x v="25"/>
    <x v="13"/>
    <x v="6"/>
    <n v="1"/>
    <n v="18229"/>
    <n v="13.3400001525879"/>
    <n v="51"/>
    <n v="24"/>
    <n v="379"/>
    <n v="3055"/>
  </r>
  <r>
    <x v="25"/>
    <x v="14"/>
    <x v="0"/>
    <n v="2"/>
    <n v="15090"/>
    <n v="10.1000003814697"/>
    <n v="16"/>
    <n v="22"/>
    <n v="424"/>
    <n v="2939"/>
  </r>
  <r>
    <x v="25"/>
    <x v="15"/>
    <x v="1"/>
    <n v="3"/>
    <n v="13541"/>
    <n v="10.2200002670288"/>
    <n v="50"/>
    <n v="12"/>
    <n v="337"/>
    <n v="2830"/>
  </r>
  <r>
    <x v="25"/>
    <x v="16"/>
    <x v="2"/>
    <n v="4"/>
    <n v="15128"/>
    <n v="10.1199998855591"/>
    <n v="16"/>
    <n v="16"/>
    <n v="401"/>
    <n v="2836"/>
  </r>
  <r>
    <x v="25"/>
    <x v="17"/>
    <x v="3"/>
    <n v="5"/>
    <n v="20067"/>
    <n v="14.300000190734901"/>
    <n v="55"/>
    <n v="42"/>
    <n v="382"/>
    <n v="3180"/>
  </r>
  <r>
    <x v="25"/>
    <x v="18"/>
    <x v="4"/>
    <n v="6"/>
    <n v="3761"/>
    <n v="2.5199999809265101"/>
    <n v="0"/>
    <n v="0"/>
    <n v="200"/>
    <n v="2051"/>
  </r>
  <r>
    <x v="25"/>
    <x v="19"/>
    <x v="5"/>
    <n v="0"/>
    <n v="5600"/>
    <n v="3.75"/>
    <n v="0"/>
    <n v="0"/>
    <n v="237"/>
    <n v="2225"/>
  </r>
  <r>
    <x v="25"/>
    <x v="20"/>
    <x v="6"/>
    <n v="1"/>
    <n v="13041"/>
    <n v="9.1800003051757795"/>
    <n v="64"/>
    <n v="14"/>
    <n v="250"/>
    <n v="2642"/>
  </r>
  <r>
    <x v="25"/>
    <x v="21"/>
    <x v="0"/>
    <n v="2"/>
    <n v="14510"/>
    <n v="10.8699998855591"/>
    <n v="58"/>
    <n v="31"/>
    <n v="330"/>
    <n v="2976"/>
  </r>
  <r>
    <x v="25"/>
    <x v="22"/>
    <x v="1"/>
    <n v="3"/>
    <n v="0"/>
    <n v="0"/>
    <n v="0"/>
    <n v="0"/>
    <n v="0"/>
    <n v="1557"/>
  </r>
  <r>
    <x v="25"/>
    <x v="23"/>
    <x v="2"/>
    <n v="4"/>
    <n v="15010"/>
    <n v="11.1000003814697"/>
    <n v="53"/>
    <n v="23"/>
    <n v="317"/>
    <n v="2933"/>
  </r>
  <r>
    <x v="25"/>
    <x v="24"/>
    <x v="3"/>
    <n v="5"/>
    <n v="11459"/>
    <n v="7.6700000762939498"/>
    <n v="44"/>
    <n v="13"/>
    <n v="247"/>
    <n v="2553"/>
  </r>
  <r>
    <x v="25"/>
    <x v="25"/>
    <x v="4"/>
    <n v="6"/>
    <n v="0"/>
    <n v="0"/>
    <n v="0"/>
    <n v="0"/>
    <n v="0"/>
    <n v="120"/>
  </r>
  <r>
    <x v="26"/>
    <x v="0"/>
    <x v="0"/>
    <n v="2"/>
    <n v="11317"/>
    <n v="8.4099998474121094"/>
    <n v="59"/>
    <n v="6"/>
    <n v="153"/>
    <n v="2772"/>
  </r>
  <r>
    <x v="26"/>
    <x v="1"/>
    <x v="1"/>
    <n v="3"/>
    <n v="5813"/>
    <n v="3.6199998855590798"/>
    <n v="31"/>
    <n v="26"/>
    <n v="155"/>
    <n v="2516"/>
  </r>
  <r>
    <x v="26"/>
    <x v="2"/>
    <x v="2"/>
    <n v="4"/>
    <n v="9123"/>
    <n v="6.1199998855590803"/>
    <n v="35"/>
    <n v="32"/>
    <n v="189"/>
    <n v="2734"/>
  </r>
  <r>
    <x v="26"/>
    <x v="3"/>
    <x v="3"/>
    <n v="5"/>
    <n v="8585"/>
    <n v="5.6700000762939498"/>
    <n v="30"/>
    <n v="21"/>
    <n v="139"/>
    <n v="2395"/>
  </r>
  <r>
    <x v="26"/>
    <x v="4"/>
    <x v="4"/>
    <n v="6"/>
    <n v="31"/>
    <n v="9.9999997764825804E-3"/>
    <n v="0"/>
    <n v="0"/>
    <n v="3"/>
    <n v="1635"/>
  </r>
  <r>
    <x v="26"/>
    <x v="5"/>
    <x v="5"/>
    <n v="0"/>
    <n v="0"/>
    <n v="0"/>
    <n v="0"/>
    <n v="0"/>
    <n v="0"/>
    <n v="1629"/>
  </r>
  <r>
    <x v="26"/>
    <x v="6"/>
    <x v="6"/>
    <n v="1"/>
    <n v="9827"/>
    <n v="6.71000003814697"/>
    <n v="61"/>
    <n v="51"/>
    <n v="114"/>
    <n v="2743"/>
  </r>
  <r>
    <x v="26"/>
    <x v="7"/>
    <x v="0"/>
    <n v="2"/>
    <n v="10688"/>
    <n v="7.28999996185303"/>
    <n v="67"/>
    <n v="69"/>
    <n v="124"/>
    <n v="2944"/>
  </r>
  <r>
    <x v="26"/>
    <x v="8"/>
    <x v="1"/>
    <n v="3"/>
    <n v="14365"/>
    <n v="10.6400003433228"/>
    <n v="87"/>
    <n v="13"/>
    <n v="145"/>
    <n v="2997"/>
  </r>
  <r>
    <x v="26"/>
    <x v="9"/>
    <x v="2"/>
    <n v="4"/>
    <n v="9469"/>
    <n v="6.1799998283386204"/>
    <n v="19"/>
    <n v="6"/>
    <n v="206"/>
    <n v="2463"/>
  </r>
  <r>
    <x v="26"/>
    <x v="10"/>
    <x v="3"/>
    <n v="5"/>
    <n v="9753"/>
    <n v="6.5300002098083496"/>
    <n v="58"/>
    <n v="59"/>
    <n v="153"/>
    <n v="2846"/>
  </r>
  <r>
    <x v="26"/>
    <x v="11"/>
    <x v="4"/>
    <n v="6"/>
    <n v="2817"/>
    <n v="1.8099999427795399"/>
    <n v="0"/>
    <n v="0"/>
    <n v="90"/>
    <n v="1965"/>
  </r>
  <r>
    <x v="26"/>
    <x v="12"/>
    <x v="5"/>
    <n v="0"/>
    <n v="3520"/>
    <n v="2.1600000858306898"/>
    <n v="0"/>
    <n v="0"/>
    <n v="125"/>
    <n v="2049"/>
  </r>
  <r>
    <x v="26"/>
    <x v="13"/>
    <x v="6"/>
    <n v="1"/>
    <n v="10091"/>
    <n v="6.8200001716613796"/>
    <n v="69"/>
    <n v="39"/>
    <n v="129"/>
    <n v="2752"/>
  </r>
  <r>
    <x v="26"/>
    <x v="14"/>
    <x v="0"/>
    <n v="2"/>
    <n v="10387"/>
    <n v="7.0700001716613796"/>
    <n v="70"/>
    <n v="33"/>
    <n v="132"/>
    <n v="2781"/>
  </r>
  <r>
    <x v="26"/>
    <x v="15"/>
    <x v="1"/>
    <n v="3"/>
    <n v="11107"/>
    <n v="8.3400001525878906"/>
    <n v="55"/>
    <n v="6"/>
    <n v="145"/>
    <n v="2693"/>
  </r>
  <r>
    <x v="26"/>
    <x v="16"/>
    <x v="2"/>
    <n v="4"/>
    <n v="11584"/>
    <n v="7.8000001907348597"/>
    <n v="54"/>
    <n v="48"/>
    <n v="161"/>
    <n v="2862"/>
  </r>
  <r>
    <x v="26"/>
    <x v="17"/>
    <x v="3"/>
    <n v="5"/>
    <n v="7881"/>
    <n v="4.9499998092651403"/>
    <n v="24"/>
    <n v="36"/>
    <n v="182"/>
    <n v="2616"/>
  </r>
  <r>
    <x v="26"/>
    <x v="18"/>
    <x v="4"/>
    <n v="6"/>
    <n v="14560"/>
    <n v="9.4099998474121094"/>
    <n v="42"/>
    <n v="17"/>
    <n v="308"/>
    <n v="2995"/>
  </r>
  <r>
    <x v="26"/>
    <x v="19"/>
    <x v="5"/>
    <n v="0"/>
    <n v="12390"/>
    <n v="8.0699996948242205"/>
    <n v="30"/>
    <n v="15"/>
    <n v="258"/>
    <n v="2730"/>
  </r>
  <r>
    <x v="26"/>
    <x v="20"/>
    <x v="6"/>
    <n v="1"/>
    <n v="10052"/>
    <n v="6.8099999427795401"/>
    <n v="66"/>
    <n v="26"/>
    <n v="139"/>
    <n v="2754"/>
  </r>
  <r>
    <x v="26"/>
    <x v="21"/>
    <x v="0"/>
    <n v="2"/>
    <n v="10288"/>
    <n v="6.7600002288818404"/>
    <n v="57"/>
    <n v="36"/>
    <n v="152"/>
    <n v="2754"/>
  </r>
  <r>
    <x v="26"/>
    <x v="22"/>
    <x v="1"/>
    <n v="3"/>
    <n v="10988"/>
    <n v="8.3100004196166992"/>
    <n v="45"/>
    <n v="12"/>
    <n v="135"/>
    <n v="2655"/>
  </r>
  <r>
    <x v="26"/>
    <x v="23"/>
    <x v="2"/>
    <n v="4"/>
    <n v="8564"/>
    <n v="5.5999999046325701"/>
    <n v="24"/>
    <n v="14"/>
    <n v="149"/>
    <n v="2386"/>
  </r>
  <r>
    <x v="26"/>
    <x v="24"/>
    <x v="3"/>
    <n v="5"/>
    <n v="12461"/>
    <n v="8.3800001144409197"/>
    <n v="84"/>
    <n v="35"/>
    <n v="154"/>
    <n v="2924"/>
  </r>
  <r>
    <x v="26"/>
    <x v="25"/>
    <x v="4"/>
    <n v="6"/>
    <n v="12827"/>
    <n v="8.4799995422363299"/>
    <n v="20"/>
    <n v="42"/>
    <n v="209"/>
    <n v="2739"/>
  </r>
  <r>
    <x v="26"/>
    <x v="26"/>
    <x v="5"/>
    <n v="0"/>
    <n v="10677"/>
    <n v="7.0999999046325701"/>
    <n v="32"/>
    <n v="27"/>
    <n v="147"/>
    <n v="2534"/>
  </r>
  <r>
    <x v="26"/>
    <x v="27"/>
    <x v="6"/>
    <n v="1"/>
    <n v="13566"/>
    <n v="9.1099996566772496"/>
    <n v="67"/>
    <n v="50"/>
    <n v="171"/>
    <n v="2960"/>
  </r>
  <r>
    <x v="26"/>
    <x v="28"/>
    <x v="0"/>
    <n v="2"/>
    <n v="14433"/>
    <n v="10.789999961853001"/>
    <n v="72"/>
    <n v="23"/>
    <n v="106"/>
    <n v="2800"/>
  </r>
  <r>
    <x v="26"/>
    <x v="29"/>
    <x v="1"/>
    <n v="3"/>
    <n v="9572"/>
    <n v="6.5199999809265101"/>
    <n v="57"/>
    <n v="40"/>
    <n v="128"/>
    <n v="2735"/>
  </r>
  <r>
    <x v="26"/>
    <x v="30"/>
    <x v="2"/>
    <n v="4"/>
    <n v="3789"/>
    <n v="2.5599999427795401"/>
    <n v="5"/>
    <n v="4"/>
    <n v="58"/>
    <n v="1199"/>
  </r>
  <r>
    <x v="27"/>
    <x v="0"/>
    <x v="0"/>
    <n v="2"/>
    <n v="18060"/>
    <n v="14.1199998855591"/>
    <n v="116"/>
    <n v="8"/>
    <n v="123"/>
    <n v="3186"/>
  </r>
  <r>
    <x v="27"/>
    <x v="1"/>
    <x v="1"/>
    <n v="3"/>
    <n v="16433"/>
    <n v="13.3500003814697"/>
    <n v="95"/>
    <n v="12"/>
    <n v="156"/>
    <n v="3140"/>
  </r>
  <r>
    <x v="27"/>
    <x v="2"/>
    <x v="2"/>
    <n v="4"/>
    <n v="20159"/>
    <n v="15.9700002670288"/>
    <n v="119"/>
    <n v="5"/>
    <n v="193"/>
    <n v="3411"/>
  </r>
  <r>
    <x v="27"/>
    <x v="3"/>
    <x v="3"/>
    <n v="5"/>
    <n v="20669"/>
    <n v="16.2399997711182"/>
    <n v="132"/>
    <n v="8"/>
    <n v="158"/>
    <n v="3410"/>
  </r>
  <r>
    <x v="27"/>
    <x v="4"/>
    <x v="4"/>
    <n v="6"/>
    <n v="14549"/>
    <n v="11.1099996566772"/>
    <n v="96"/>
    <n v="6"/>
    <n v="83"/>
    <n v="2867"/>
  </r>
  <r>
    <x v="27"/>
    <x v="5"/>
    <x v="5"/>
    <n v="0"/>
    <n v="18827"/>
    <n v="13.689999580383301"/>
    <n v="111"/>
    <n v="21"/>
    <n v="195"/>
    <n v="3213"/>
  </r>
  <r>
    <x v="27"/>
    <x v="6"/>
    <x v="6"/>
    <n v="1"/>
    <n v="17076"/>
    <n v="12.6599998474121"/>
    <n v="102"/>
    <n v="6"/>
    <n v="195"/>
    <n v="3133"/>
  </r>
  <r>
    <x v="27"/>
    <x v="7"/>
    <x v="0"/>
    <n v="2"/>
    <n v="15929"/>
    <n v="12.4799995422363"/>
    <n v="90"/>
    <n v="7"/>
    <n v="191"/>
    <n v="3114"/>
  </r>
  <r>
    <x v="27"/>
    <x v="8"/>
    <x v="1"/>
    <n v="3"/>
    <n v="15108"/>
    <n v="12.189999580383301"/>
    <n v="89"/>
    <n v="5"/>
    <n v="158"/>
    <n v="3043"/>
  </r>
  <r>
    <x v="27"/>
    <x v="9"/>
    <x v="2"/>
    <n v="4"/>
    <n v="16057"/>
    <n v="12.5100002288818"/>
    <n v="100"/>
    <n v="6"/>
    <n v="170"/>
    <n v="3103"/>
  </r>
  <r>
    <x v="27"/>
    <x v="10"/>
    <x v="3"/>
    <n v="5"/>
    <n v="10520"/>
    <n v="8.2899999618530291"/>
    <n v="60"/>
    <n v="3"/>
    <n v="117"/>
    <n v="2655"/>
  </r>
  <r>
    <x v="27"/>
    <x v="11"/>
    <x v="4"/>
    <n v="6"/>
    <n v="22359"/>
    <n v="17.190000534057599"/>
    <n v="125"/>
    <n v="14"/>
    <n v="223"/>
    <n v="3554"/>
  </r>
  <r>
    <x v="27"/>
    <x v="12"/>
    <x v="5"/>
    <n v="0"/>
    <n v="22988"/>
    <n v="17.950000762939499"/>
    <n v="129"/>
    <n v="33"/>
    <n v="182"/>
    <n v="3577"/>
  </r>
  <r>
    <x v="27"/>
    <x v="13"/>
    <x v="6"/>
    <n v="1"/>
    <n v="20500"/>
    <n v="15.689999580383301"/>
    <n v="118"/>
    <n v="9"/>
    <n v="209"/>
    <n v="3403"/>
  </r>
  <r>
    <x v="27"/>
    <x v="14"/>
    <x v="0"/>
    <n v="2"/>
    <n v="12685"/>
    <n v="9.6199998855590803"/>
    <n v="68"/>
    <n v="5"/>
    <n v="185"/>
    <n v="2846"/>
  </r>
  <r>
    <x v="27"/>
    <x v="15"/>
    <x v="1"/>
    <n v="3"/>
    <n v="12422"/>
    <n v="9.8199996948242205"/>
    <n v="60"/>
    <n v="10"/>
    <n v="183"/>
    <n v="2852"/>
  </r>
  <r>
    <x v="27"/>
    <x v="16"/>
    <x v="2"/>
    <n v="4"/>
    <n v="15447"/>
    <n v="12.3999996185303"/>
    <n v="90"/>
    <n v="9"/>
    <n v="153"/>
    <n v="3062"/>
  </r>
  <r>
    <x v="27"/>
    <x v="17"/>
    <x v="3"/>
    <n v="5"/>
    <n v="12315"/>
    <n v="9.6499996185302699"/>
    <n v="58"/>
    <n v="8"/>
    <n v="159"/>
    <n v="2794"/>
  </r>
  <r>
    <x v="27"/>
    <x v="18"/>
    <x v="4"/>
    <n v="6"/>
    <n v="7135"/>
    <n v="5.5900001525878897"/>
    <n v="27"/>
    <n v="1"/>
    <n v="131"/>
    <n v="2408"/>
  </r>
  <r>
    <x v="27"/>
    <x v="19"/>
    <x v="5"/>
    <n v="0"/>
    <n v="1170"/>
    <n v="0.85000002384185802"/>
    <n v="0"/>
    <n v="0"/>
    <n v="51"/>
    <n v="1886"/>
  </r>
  <r>
    <x v="27"/>
    <x v="20"/>
    <x v="6"/>
    <n v="1"/>
    <n v="1969"/>
    <n v="1.4299999475479099"/>
    <n v="0"/>
    <n v="0"/>
    <n v="95"/>
    <n v="1988"/>
  </r>
  <r>
    <x v="27"/>
    <x v="21"/>
    <x v="0"/>
    <n v="2"/>
    <n v="15484"/>
    <n v="11.8999996185303"/>
    <n v="87"/>
    <n v="22"/>
    <n v="165"/>
    <n v="3023"/>
  </r>
  <r>
    <x v="27"/>
    <x v="22"/>
    <x v="1"/>
    <n v="3"/>
    <n v="14581"/>
    <n v="11.1499996185303"/>
    <n v="89"/>
    <n v="8"/>
    <n v="123"/>
    <n v="2918"/>
  </r>
  <r>
    <x v="27"/>
    <x v="23"/>
    <x v="2"/>
    <n v="4"/>
    <n v="14990"/>
    <n v="11.5100002288818"/>
    <n v="93"/>
    <n v="9"/>
    <n v="130"/>
    <n v="2950"/>
  </r>
  <r>
    <x v="27"/>
    <x v="24"/>
    <x v="3"/>
    <n v="5"/>
    <n v="13953"/>
    <n v="11"/>
    <n v="90"/>
    <n v="15"/>
    <n v="90"/>
    <n v="2859"/>
  </r>
  <r>
    <x v="27"/>
    <x v="25"/>
    <x v="4"/>
    <n v="6"/>
    <n v="19769"/>
    <n v="15.670000076293899"/>
    <n v="121"/>
    <n v="20"/>
    <n v="148"/>
    <n v="3331"/>
  </r>
  <r>
    <x v="27"/>
    <x v="26"/>
    <x v="5"/>
    <n v="0"/>
    <n v="22026"/>
    <n v="17.649999618530298"/>
    <n v="125"/>
    <n v="14"/>
    <n v="228"/>
    <n v="3589"/>
  </r>
  <r>
    <x v="27"/>
    <x v="27"/>
    <x v="6"/>
    <n v="1"/>
    <n v="12465"/>
    <n v="9.3800001144409197"/>
    <n v="66"/>
    <n v="12"/>
    <n v="148"/>
    <n v="2765"/>
  </r>
  <r>
    <x v="27"/>
    <x v="28"/>
    <x v="0"/>
    <n v="2"/>
    <n v="14810"/>
    <n v="11.3599996566772"/>
    <n v="96"/>
    <n v="10"/>
    <n v="115"/>
    <n v="2926"/>
  </r>
  <r>
    <x v="27"/>
    <x v="29"/>
    <x v="1"/>
    <n v="3"/>
    <n v="12209"/>
    <n v="9.3999996185302699"/>
    <n v="60"/>
    <n v="7"/>
    <n v="184"/>
    <n v="2809"/>
  </r>
  <r>
    <x v="27"/>
    <x v="30"/>
    <x v="2"/>
    <n v="4"/>
    <n v="4998"/>
    <n v="3.9100000858306898"/>
    <n v="28"/>
    <n v="4"/>
    <n v="39"/>
    <n v="1505"/>
  </r>
  <r>
    <x v="28"/>
    <x v="0"/>
    <x v="0"/>
    <n v="2"/>
    <n v="9033"/>
    <n v="7.1599998474121103"/>
    <n v="40"/>
    <n v="2"/>
    <n v="154"/>
    <n v="2044"/>
  </r>
  <r>
    <x v="28"/>
    <x v="1"/>
    <x v="1"/>
    <n v="3"/>
    <n v="8053"/>
    <n v="6.0999999046325701"/>
    <n v="35"/>
    <n v="11"/>
    <n v="96"/>
    <n v="1935"/>
  </r>
  <r>
    <x v="28"/>
    <x v="2"/>
    <x v="2"/>
    <n v="4"/>
    <n v="5234"/>
    <n v="3.46000003814697"/>
    <n v="29"/>
    <n v="16"/>
    <n v="33"/>
    <n v="1705"/>
  </r>
  <r>
    <x v="28"/>
    <x v="3"/>
    <x v="3"/>
    <n v="5"/>
    <n v="2672"/>
    <n v="1.7699999809265099"/>
    <n v="0"/>
    <n v="0"/>
    <n v="105"/>
    <n v="1632"/>
  </r>
  <r>
    <x v="28"/>
    <x v="4"/>
    <x v="4"/>
    <n v="6"/>
    <n v="9256"/>
    <n v="6.1399998664856001"/>
    <n v="6"/>
    <n v="51"/>
    <n v="115"/>
    <n v="1880"/>
  </r>
  <r>
    <x v="28"/>
    <x v="5"/>
    <x v="5"/>
    <n v="0"/>
    <n v="10204"/>
    <n v="7.9099998474121103"/>
    <n v="41"/>
    <n v="5"/>
    <n v="157"/>
    <n v="2112"/>
  </r>
  <r>
    <x v="28"/>
    <x v="6"/>
    <x v="6"/>
    <n v="1"/>
    <n v="5151"/>
    <n v="3.4800000190734899"/>
    <n v="16"/>
    <n v="16"/>
    <n v="130"/>
    <n v="1829"/>
  </r>
  <r>
    <x v="28"/>
    <x v="7"/>
    <x v="0"/>
    <n v="2"/>
    <n v="4212"/>
    <n v="2.7799999713897701"/>
    <n v="0"/>
    <n v="0"/>
    <n v="164"/>
    <n v="1763"/>
  </r>
  <r>
    <x v="28"/>
    <x v="8"/>
    <x v="1"/>
    <n v="3"/>
    <n v="6466"/>
    <n v="4.2699999809265101"/>
    <n v="5"/>
    <n v="18"/>
    <n v="216"/>
    <n v="1931"/>
  </r>
  <r>
    <x v="28"/>
    <x v="9"/>
    <x v="2"/>
    <n v="4"/>
    <n v="11268"/>
    <n v="8.5600004196166992"/>
    <n v="49"/>
    <n v="20"/>
    <n v="172"/>
    <n v="2218"/>
  </r>
  <r>
    <x v="28"/>
    <x v="10"/>
    <x v="3"/>
    <n v="5"/>
    <n v="2824"/>
    <n v="1.87000000476837"/>
    <n v="0"/>
    <n v="0"/>
    <n v="120"/>
    <n v="1651"/>
  </r>
  <r>
    <x v="28"/>
    <x v="11"/>
    <x v="4"/>
    <n v="6"/>
    <n v="9282"/>
    <n v="6.2600002288818404"/>
    <n v="30"/>
    <n v="26"/>
    <n v="191"/>
    <n v="2132"/>
  </r>
  <r>
    <x v="28"/>
    <x v="12"/>
    <x v="5"/>
    <n v="0"/>
    <n v="8905"/>
    <n v="7.1300001144409197"/>
    <n v="41"/>
    <n v="4"/>
    <n v="82"/>
    <n v="1976"/>
  </r>
  <r>
    <x v="28"/>
    <x v="13"/>
    <x v="6"/>
    <n v="1"/>
    <n v="6829"/>
    <n v="4.5100002288818404"/>
    <n v="7"/>
    <n v="54"/>
    <n v="118"/>
    <n v="1909"/>
  </r>
  <r>
    <x v="28"/>
    <x v="14"/>
    <x v="0"/>
    <n v="2"/>
    <n v="4562"/>
    <n v="3.03999996185303"/>
    <n v="19"/>
    <n v="14"/>
    <n v="108"/>
    <n v="1813"/>
  </r>
  <r>
    <x v="28"/>
    <x v="15"/>
    <x v="1"/>
    <n v="3"/>
    <n v="10232"/>
    <n v="8.1800003051757795"/>
    <n v="45"/>
    <n v="5"/>
    <n v="104"/>
    <n v="2008"/>
  </r>
  <r>
    <x v="28"/>
    <x v="16"/>
    <x v="2"/>
    <n v="4"/>
    <n v="2718"/>
    <n v="1.79999995231628"/>
    <n v="11"/>
    <n v="16"/>
    <n v="20"/>
    <n v="1580"/>
  </r>
  <r>
    <x v="28"/>
    <x v="17"/>
    <x v="3"/>
    <n v="5"/>
    <n v="6260"/>
    <n v="4.2600002288818404"/>
    <n v="16"/>
    <n v="14"/>
    <n v="136"/>
    <n v="1854"/>
  </r>
  <r>
    <x v="28"/>
    <x v="18"/>
    <x v="4"/>
    <n v="6"/>
    <n v="0"/>
    <n v="0"/>
    <n v="0"/>
    <n v="0"/>
    <n v="0"/>
    <n v="0"/>
  </r>
  <r>
    <x v="29"/>
    <x v="0"/>
    <x v="0"/>
    <n v="2"/>
    <n v="7626"/>
    <n v="6.0500001907348597"/>
    <n v="65"/>
    <n v="15"/>
    <n v="156"/>
    <n v="3635"/>
  </r>
  <r>
    <x v="29"/>
    <x v="1"/>
    <x v="1"/>
    <n v="3"/>
    <n v="12386"/>
    <n v="9.8199996948242205"/>
    <n v="116"/>
    <n v="14"/>
    <n v="169"/>
    <n v="4079"/>
  </r>
  <r>
    <x v="29"/>
    <x v="2"/>
    <x v="2"/>
    <n v="4"/>
    <n v="13318"/>
    <n v="10.560000419616699"/>
    <n v="123"/>
    <n v="21"/>
    <n v="174"/>
    <n v="4163"/>
  </r>
  <r>
    <x v="29"/>
    <x v="3"/>
    <x v="3"/>
    <n v="5"/>
    <n v="14461"/>
    <n v="11.4700002670288"/>
    <n v="60"/>
    <n v="23"/>
    <n v="190"/>
    <n v="3666"/>
  </r>
  <r>
    <x v="29"/>
    <x v="4"/>
    <x v="4"/>
    <n v="6"/>
    <n v="11207"/>
    <n v="8.8900003433227504"/>
    <n v="64"/>
    <n v="21"/>
    <n v="142"/>
    <n v="3363"/>
  </r>
  <r>
    <x v="29"/>
    <x v="5"/>
    <x v="5"/>
    <n v="0"/>
    <n v="2132"/>
    <n v="1.6900000572204601"/>
    <n v="0"/>
    <n v="0"/>
    <n v="93"/>
    <n v="2572"/>
  </r>
  <r>
    <x v="29"/>
    <x v="6"/>
    <x v="6"/>
    <n v="1"/>
    <n v="13630"/>
    <n v="10.810000419616699"/>
    <n v="117"/>
    <n v="10"/>
    <n v="174"/>
    <n v="4157"/>
  </r>
  <r>
    <x v="29"/>
    <x v="7"/>
    <x v="0"/>
    <n v="2"/>
    <n v="13070"/>
    <n v="10.3599996566772"/>
    <n v="120"/>
    <n v="19"/>
    <n v="154"/>
    <n v="4092"/>
  </r>
  <r>
    <x v="29"/>
    <x v="8"/>
    <x v="1"/>
    <n v="3"/>
    <n v="9388"/>
    <n v="7.4400000572204599"/>
    <n v="82"/>
    <n v="8"/>
    <n v="169"/>
    <n v="3787"/>
  </r>
  <r>
    <x v="29"/>
    <x v="9"/>
    <x v="2"/>
    <n v="4"/>
    <n v="15148"/>
    <n v="12.0100002288818"/>
    <n v="137"/>
    <n v="16"/>
    <n v="145"/>
    <n v="4236"/>
  </r>
  <r>
    <x v="29"/>
    <x v="10"/>
    <x v="3"/>
    <n v="5"/>
    <n v="12200"/>
    <n v="9.6700000762939506"/>
    <n v="113"/>
    <n v="12"/>
    <n v="159"/>
    <n v="4044"/>
  </r>
  <r>
    <x v="29"/>
    <x v="11"/>
    <x v="4"/>
    <n v="6"/>
    <n v="5709"/>
    <n v="4.5300002098083496"/>
    <n v="19"/>
    <n v="10"/>
    <n v="136"/>
    <n v="2908"/>
  </r>
  <r>
    <x v="29"/>
    <x v="12"/>
    <x v="5"/>
    <n v="0"/>
    <n v="3703"/>
    <n v="2.9400000572204599"/>
    <n v="0"/>
    <n v="0"/>
    <n v="135"/>
    <n v="2741"/>
  </r>
  <r>
    <x v="29"/>
    <x v="13"/>
    <x v="6"/>
    <n v="1"/>
    <n v="12405"/>
    <n v="9.8400001525878906"/>
    <n v="117"/>
    <n v="16"/>
    <n v="141"/>
    <n v="4005"/>
  </r>
  <r>
    <x v="29"/>
    <x v="14"/>
    <x v="0"/>
    <n v="2"/>
    <n v="16208"/>
    <n v="12.8500003814697"/>
    <n v="90"/>
    <n v="18"/>
    <n v="161"/>
    <n v="3763"/>
  </r>
  <r>
    <x v="29"/>
    <x v="15"/>
    <x v="1"/>
    <n v="3"/>
    <n v="7359"/>
    <n v="5.8400001525878897"/>
    <n v="4"/>
    <n v="4"/>
    <n v="192"/>
    <n v="3061"/>
  </r>
  <r>
    <x v="29"/>
    <x v="16"/>
    <x v="2"/>
    <n v="4"/>
    <n v="5417"/>
    <n v="4.3000001907348597"/>
    <n v="11"/>
    <n v="10"/>
    <n v="139"/>
    <n v="2884"/>
  </r>
  <r>
    <x v="29"/>
    <x v="17"/>
    <x v="3"/>
    <n v="5"/>
    <n v="6175"/>
    <n v="4.9000000953674299"/>
    <n v="3"/>
    <n v="7"/>
    <n v="172"/>
    <n v="2982"/>
  </r>
  <r>
    <x v="29"/>
    <x v="18"/>
    <x v="4"/>
    <n v="6"/>
    <n v="2946"/>
    <n v="2.3399999141693102"/>
    <n v="0"/>
    <n v="0"/>
    <n v="121"/>
    <n v="2660"/>
  </r>
  <r>
    <x v="29"/>
    <x v="19"/>
    <x v="5"/>
    <n v="0"/>
    <n v="11419"/>
    <n v="9.0600004196166992"/>
    <n v="71"/>
    <n v="10"/>
    <n v="127"/>
    <n v="3369"/>
  </r>
  <r>
    <x v="29"/>
    <x v="20"/>
    <x v="6"/>
    <n v="1"/>
    <n v="6064"/>
    <n v="4.8099999427795401"/>
    <n v="63"/>
    <n v="4"/>
    <n v="142"/>
    <n v="3491"/>
  </r>
  <r>
    <x v="29"/>
    <x v="21"/>
    <x v="0"/>
    <n v="2"/>
    <n v="8712"/>
    <n v="6.9099998474121103"/>
    <n v="71"/>
    <n v="20"/>
    <n v="195"/>
    <n v="3784"/>
  </r>
  <r>
    <x v="29"/>
    <x v="22"/>
    <x v="1"/>
    <n v="3"/>
    <n v="7875"/>
    <n v="6.2399997711181596"/>
    <n v="19"/>
    <n v="10"/>
    <n v="167"/>
    <n v="3110"/>
  </r>
  <r>
    <x v="29"/>
    <x v="23"/>
    <x v="2"/>
    <n v="4"/>
    <n v="8567"/>
    <n v="6.78999996185303"/>
    <n v="66"/>
    <n v="3"/>
    <n v="214"/>
    <n v="3783"/>
  </r>
  <r>
    <x v="29"/>
    <x v="24"/>
    <x v="3"/>
    <n v="5"/>
    <n v="7045"/>
    <n v="5.5900001525878897"/>
    <n v="74"/>
    <n v="5"/>
    <n v="166"/>
    <n v="3644"/>
  </r>
  <r>
    <x v="29"/>
    <x v="25"/>
    <x v="4"/>
    <n v="6"/>
    <n v="4468"/>
    <n v="3.53999996185303"/>
    <n v="0"/>
    <n v="0"/>
    <n v="158"/>
    <n v="2799"/>
  </r>
  <r>
    <x v="29"/>
    <x v="26"/>
    <x v="5"/>
    <n v="0"/>
    <n v="2943"/>
    <n v="2.3299999237060498"/>
    <n v="0"/>
    <n v="0"/>
    <n v="139"/>
    <n v="2685"/>
  </r>
  <r>
    <x v="29"/>
    <x v="27"/>
    <x v="6"/>
    <n v="1"/>
    <n v="8382"/>
    <n v="6.6500000953674299"/>
    <n v="71"/>
    <n v="13"/>
    <n v="171"/>
    <n v="3721"/>
  </r>
  <r>
    <x v="29"/>
    <x v="28"/>
    <x v="0"/>
    <n v="2"/>
    <n v="6582"/>
    <n v="5.2199997901916504"/>
    <n v="63"/>
    <n v="13"/>
    <n v="152"/>
    <n v="3586"/>
  </r>
  <r>
    <x v="29"/>
    <x v="29"/>
    <x v="1"/>
    <n v="3"/>
    <n v="9143"/>
    <n v="7.25"/>
    <n v="72"/>
    <n v="10"/>
    <n v="184"/>
    <n v="3788"/>
  </r>
  <r>
    <x v="29"/>
    <x v="30"/>
    <x v="2"/>
    <n v="4"/>
    <n v="4561"/>
    <n v="3.6199998855590798"/>
    <n v="8"/>
    <n v="6"/>
    <n v="102"/>
    <n v="1976"/>
  </r>
  <r>
    <x v="30"/>
    <x v="0"/>
    <x v="0"/>
    <n v="2"/>
    <n v="5014"/>
    <n v="3.9100000858306898"/>
    <n v="0"/>
    <n v="7"/>
    <n v="196"/>
    <n v="2650"/>
  </r>
  <r>
    <x v="30"/>
    <x v="1"/>
    <x v="1"/>
    <n v="3"/>
    <n v="5571"/>
    <n v="4.3499999046325701"/>
    <n v="2"/>
    <n v="23"/>
    <n v="163"/>
    <n v="2654"/>
  </r>
  <r>
    <x v="30"/>
    <x v="2"/>
    <x v="2"/>
    <n v="4"/>
    <n v="3135"/>
    <n v="2.4500000476837198"/>
    <n v="0"/>
    <n v="0"/>
    <n v="134"/>
    <n v="2443"/>
  </r>
  <r>
    <x v="30"/>
    <x v="3"/>
    <x v="3"/>
    <n v="5"/>
    <n v="3430"/>
    <n v="2.6800000667571999"/>
    <n v="0"/>
    <n v="0"/>
    <n v="65"/>
    <n v="2505"/>
  </r>
  <r>
    <x v="30"/>
    <x v="4"/>
    <x v="4"/>
    <n v="6"/>
    <n v="5319"/>
    <n v="4.1500000953674299"/>
    <n v="0"/>
    <n v="0"/>
    <n v="0"/>
    <n v="2693"/>
  </r>
  <r>
    <x v="30"/>
    <x v="5"/>
    <x v="5"/>
    <n v="0"/>
    <n v="3008"/>
    <n v="2.3499999046325701"/>
    <n v="0"/>
    <n v="0"/>
    <n v="0"/>
    <n v="2439"/>
  </r>
  <r>
    <x v="30"/>
    <x v="6"/>
    <x v="6"/>
    <n v="1"/>
    <n v="3864"/>
    <n v="3.0099999904632599"/>
    <n v="4"/>
    <n v="22"/>
    <n v="105"/>
    <n v="2536"/>
  </r>
  <r>
    <x v="30"/>
    <x v="7"/>
    <x v="0"/>
    <n v="2"/>
    <n v="5697"/>
    <n v="4.4400000572204599"/>
    <n v="7"/>
    <n v="10"/>
    <n v="166"/>
    <n v="2668"/>
  </r>
  <r>
    <x v="30"/>
    <x v="8"/>
    <x v="1"/>
    <n v="3"/>
    <n v="5273"/>
    <n v="4.1100001335143999"/>
    <n v="0"/>
    <n v="27"/>
    <n v="167"/>
    <n v="2647"/>
  </r>
  <r>
    <x v="30"/>
    <x v="9"/>
    <x v="2"/>
    <n v="4"/>
    <n v="8538"/>
    <n v="6.6599998474121103"/>
    <n v="35"/>
    <n v="18"/>
    <n v="158"/>
    <n v="2883"/>
  </r>
  <r>
    <x v="30"/>
    <x v="10"/>
    <x v="3"/>
    <n v="5"/>
    <n v="8687"/>
    <n v="6.7800002098083496"/>
    <n v="4"/>
    <n v="54"/>
    <n v="212"/>
    <n v="2944"/>
  </r>
  <r>
    <x v="30"/>
    <x v="11"/>
    <x v="4"/>
    <n v="6"/>
    <n v="9423"/>
    <n v="7.3499999046325701"/>
    <n v="7"/>
    <n v="44"/>
    <n v="238"/>
    <n v="3012"/>
  </r>
  <r>
    <x v="30"/>
    <x v="12"/>
    <x v="5"/>
    <n v="0"/>
    <n v="8286"/>
    <n v="6.46000003814697"/>
    <n v="2"/>
    <n v="44"/>
    <n v="206"/>
    <n v="2889"/>
  </r>
  <r>
    <x v="30"/>
    <x v="13"/>
    <x v="6"/>
    <n v="1"/>
    <n v="4503"/>
    <n v="3.5099999904632599"/>
    <n v="18"/>
    <n v="6"/>
    <n v="122"/>
    <n v="2547"/>
  </r>
  <r>
    <x v="30"/>
    <x v="14"/>
    <x v="0"/>
    <n v="2"/>
    <n v="10499"/>
    <n v="8.1899995803833008"/>
    <n v="1"/>
    <n v="91"/>
    <n v="214"/>
    <n v="3093"/>
  </r>
  <r>
    <x v="30"/>
    <x v="15"/>
    <x v="1"/>
    <n v="3"/>
    <n v="12474"/>
    <n v="9.7299995422363299"/>
    <n v="77"/>
    <n v="5"/>
    <n v="129"/>
    <n v="3142"/>
  </r>
  <r>
    <x v="30"/>
    <x v="16"/>
    <x v="2"/>
    <n v="4"/>
    <n v="6174"/>
    <n v="4.8200001716613796"/>
    <n v="0"/>
    <n v="28"/>
    <n v="203"/>
    <n v="2757"/>
  </r>
  <r>
    <x v="30"/>
    <x v="17"/>
    <x v="3"/>
    <n v="5"/>
    <n v="15168"/>
    <n v="11.829999923706101"/>
    <n v="46"/>
    <n v="67"/>
    <n v="258"/>
    <n v="3513"/>
  </r>
  <r>
    <x v="30"/>
    <x v="18"/>
    <x v="4"/>
    <n v="6"/>
    <n v="10085"/>
    <n v="7.8699998855590803"/>
    <n v="2"/>
    <n v="28"/>
    <n v="317"/>
    <n v="3164"/>
  </r>
  <r>
    <x v="30"/>
    <x v="19"/>
    <x v="5"/>
    <n v="0"/>
    <n v="4512"/>
    <n v="3.5199999809265101"/>
    <n v="10"/>
    <n v="2"/>
    <n v="117"/>
    <n v="2596"/>
  </r>
  <r>
    <x v="30"/>
    <x v="20"/>
    <x v="6"/>
    <n v="1"/>
    <n v="8469"/>
    <n v="6.6100001335143999"/>
    <n v="0"/>
    <n v="0"/>
    <n v="0"/>
    <n v="2894"/>
  </r>
  <r>
    <x v="30"/>
    <x v="21"/>
    <x v="0"/>
    <n v="2"/>
    <n v="12015"/>
    <n v="9.3699998855590803"/>
    <n v="0"/>
    <n v="0"/>
    <n v="0"/>
    <n v="3212"/>
  </r>
  <r>
    <x v="30"/>
    <x v="22"/>
    <x v="1"/>
    <n v="3"/>
    <n v="3588"/>
    <n v="2.7999999523162802"/>
    <n v="0"/>
    <n v="0"/>
    <n v="0"/>
    <n v="2516"/>
  </r>
  <r>
    <x v="30"/>
    <x v="23"/>
    <x v="2"/>
    <n v="4"/>
    <n v="12427"/>
    <n v="9.6899995803833008"/>
    <n v="0"/>
    <n v="0"/>
    <n v="70"/>
    <n v="3266"/>
  </r>
  <r>
    <x v="30"/>
    <x v="24"/>
    <x v="3"/>
    <n v="5"/>
    <n v="5843"/>
    <n v="4.5599999427795401"/>
    <n v="2"/>
    <n v="22"/>
    <n v="166"/>
    <n v="2683"/>
  </r>
  <r>
    <x v="30"/>
    <x v="25"/>
    <x v="4"/>
    <n v="6"/>
    <n v="6117"/>
    <n v="4.7699999809265101"/>
    <n v="0"/>
    <n v="0"/>
    <n v="250"/>
    <n v="2810"/>
  </r>
  <r>
    <x v="30"/>
    <x v="26"/>
    <x v="5"/>
    <n v="0"/>
    <n v="9217"/>
    <n v="7.1900000572204599"/>
    <n v="3"/>
    <n v="72"/>
    <n v="182"/>
    <n v="2940"/>
  </r>
  <r>
    <x v="30"/>
    <x v="27"/>
    <x v="6"/>
    <n v="1"/>
    <n v="9877"/>
    <n v="7.6999998092651403"/>
    <n v="66"/>
    <n v="4"/>
    <n v="110"/>
    <n v="2947"/>
  </r>
  <r>
    <x v="30"/>
    <x v="28"/>
    <x v="0"/>
    <n v="2"/>
    <n v="8240"/>
    <n v="6.4299998283386204"/>
    <n v="9"/>
    <n v="43"/>
    <n v="162"/>
    <n v="2846"/>
  </r>
  <r>
    <x v="30"/>
    <x v="29"/>
    <x v="1"/>
    <n v="3"/>
    <n v="8701"/>
    <n v="6.78999996185303"/>
    <n v="5"/>
    <n v="71"/>
    <n v="177"/>
    <n v="2804"/>
  </r>
  <r>
    <x v="30"/>
    <x v="30"/>
    <x v="2"/>
    <n v="4"/>
    <n v="0"/>
    <n v="0"/>
    <n v="0"/>
    <n v="0"/>
    <n v="0"/>
    <n v="0"/>
  </r>
  <r>
    <x v="31"/>
    <x v="0"/>
    <x v="0"/>
    <n v="2"/>
    <n v="2564"/>
    <n v="1.6399999856948899"/>
    <n v="0"/>
    <n v="0"/>
    <n v="116"/>
    <n v="2044"/>
  </r>
  <r>
    <x v="31"/>
    <x v="1"/>
    <x v="1"/>
    <n v="3"/>
    <n v="1320"/>
    <n v="0.83999997377395597"/>
    <n v="0"/>
    <n v="0"/>
    <n v="82"/>
    <n v="1934"/>
  </r>
  <r>
    <x v="31"/>
    <x v="2"/>
    <x v="2"/>
    <n v="4"/>
    <n v="1219"/>
    <n v="0.77999997138977095"/>
    <n v="0"/>
    <n v="0"/>
    <n v="84"/>
    <n v="1963"/>
  </r>
  <r>
    <x v="31"/>
    <x v="3"/>
    <x v="3"/>
    <n v="5"/>
    <n v="2483"/>
    <n v="1.5900000333786"/>
    <n v="0"/>
    <n v="0"/>
    <n v="126"/>
    <n v="2009"/>
  </r>
  <r>
    <x v="31"/>
    <x v="4"/>
    <x v="4"/>
    <n v="6"/>
    <n v="244"/>
    <n v="0.15999999642372101"/>
    <n v="0"/>
    <n v="0"/>
    <n v="12"/>
    <n v="1721"/>
  </r>
  <r>
    <x v="31"/>
    <x v="5"/>
    <x v="5"/>
    <n v="0"/>
    <n v="0"/>
    <n v="0"/>
    <n v="0"/>
    <n v="0"/>
    <n v="0"/>
    <n v="1688"/>
  </r>
  <r>
    <x v="31"/>
    <x v="6"/>
    <x v="6"/>
    <n v="1"/>
    <n v="0"/>
    <n v="0"/>
    <n v="0"/>
    <n v="0"/>
    <n v="0"/>
    <n v="1688"/>
  </r>
  <r>
    <x v="31"/>
    <x v="7"/>
    <x v="0"/>
    <n v="2"/>
    <n v="0"/>
    <n v="0"/>
    <n v="0"/>
    <n v="0"/>
    <n v="0"/>
    <n v="1688"/>
  </r>
  <r>
    <x v="31"/>
    <x v="8"/>
    <x v="1"/>
    <n v="3"/>
    <n v="3147"/>
    <n v="2.0099999904632599"/>
    <n v="0"/>
    <n v="10"/>
    <n v="139"/>
    <n v="2188"/>
  </r>
  <r>
    <x v="31"/>
    <x v="9"/>
    <x v="2"/>
    <n v="4"/>
    <n v="144"/>
    <n v="9.00000035762787E-2"/>
    <n v="0"/>
    <n v="0"/>
    <n v="9"/>
    <n v="1720"/>
  </r>
  <r>
    <x v="31"/>
    <x v="10"/>
    <x v="3"/>
    <n v="5"/>
    <n v="4068"/>
    <n v="2.5999999046325701"/>
    <n v="1"/>
    <n v="20"/>
    <n v="195"/>
    <n v="2419"/>
  </r>
  <r>
    <x v="31"/>
    <x v="11"/>
    <x v="4"/>
    <n v="6"/>
    <n v="5245"/>
    <n v="3.3599998950958301"/>
    <n v="8"/>
    <n v="45"/>
    <n v="232"/>
    <n v="2748"/>
  </r>
  <r>
    <x v="31"/>
    <x v="12"/>
    <x v="5"/>
    <n v="0"/>
    <n v="400"/>
    <n v="0.259999990463257"/>
    <n v="3"/>
    <n v="8"/>
    <n v="19"/>
    <n v="1799"/>
  </r>
  <r>
    <x v="31"/>
    <x v="13"/>
    <x v="6"/>
    <n v="1"/>
    <n v="0"/>
    <n v="0"/>
    <n v="0"/>
    <n v="0"/>
    <n v="0"/>
    <n v="1688"/>
  </r>
  <r>
    <x v="31"/>
    <x v="14"/>
    <x v="0"/>
    <n v="2"/>
    <n v="1321"/>
    <n v="0.85000002384185802"/>
    <n v="0"/>
    <n v="0"/>
    <n v="80"/>
    <n v="1928"/>
  </r>
  <r>
    <x v="31"/>
    <x v="15"/>
    <x v="1"/>
    <n v="3"/>
    <n v="1758"/>
    <n v="1.12999999523163"/>
    <n v="0"/>
    <n v="0"/>
    <n v="112"/>
    <n v="2067"/>
  </r>
  <r>
    <x v="31"/>
    <x v="16"/>
    <x v="2"/>
    <n v="4"/>
    <n v="6157"/>
    <n v="3.9400000572204599"/>
    <n v="0"/>
    <n v="0"/>
    <n v="310"/>
    <n v="2780"/>
  </r>
  <r>
    <x v="31"/>
    <x v="17"/>
    <x v="3"/>
    <n v="5"/>
    <n v="8360"/>
    <n v="5.3499999046325701"/>
    <n v="6"/>
    <n v="14"/>
    <n v="380"/>
    <n v="3101"/>
  </r>
  <r>
    <x v="31"/>
    <x v="18"/>
    <x v="4"/>
    <n v="6"/>
    <n v="7174"/>
    <n v="4.5900001525878897"/>
    <n v="10"/>
    <n v="20"/>
    <n v="301"/>
    <n v="2896"/>
  </r>
  <r>
    <x v="31"/>
    <x v="19"/>
    <x v="5"/>
    <n v="0"/>
    <n v="1619"/>
    <n v="1.03999996185303"/>
    <n v="0"/>
    <n v="0"/>
    <n v="79"/>
    <n v="1962"/>
  </r>
  <r>
    <x v="31"/>
    <x v="20"/>
    <x v="6"/>
    <n v="1"/>
    <n v="1831"/>
    <n v="1.16999995708466"/>
    <n v="0"/>
    <n v="0"/>
    <n v="101"/>
    <n v="2015"/>
  </r>
  <r>
    <x v="31"/>
    <x v="21"/>
    <x v="0"/>
    <n v="2"/>
    <n v="2421"/>
    <n v="1.54999995231628"/>
    <n v="0"/>
    <n v="0"/>
    <n v="156"/>
    <n v="2297"/>
  </r>
  <r>
    <x v="31"/>
    <x v="22"/>
    <x v="1"/>
    <n v="3"/>
    <n v="2283"/>
    <n v="1.46000003814697"/>
    <n v="0"/>
    <n v="0"/>
    <n v="129"/>
    <n v="2067"/>
  </r>
  <r>
    <x v="31"/>
    <x v="23"/>
    <x v="2"/>
    <n v="4"/>
    <n v="0"/>
    <n v="0"/>
    <n v="0"/>
    <n v="0"/>
    <n v="0"/>
    <n v="1688"/>
  </r>
  <r>
    <x v="31"/>
    <x v="24"/>
    <x v="3"/>
    <n v="5"/>
    <n v="0"/>
    <n v="0"/>
    <n v="0"/>
    <n v="0"/>
    <n v="0"/>
    <n v="1688"/>
  </r>
  <r>
    <x v="31"/>
    <x v="25"/>
    <x v="4"/>
    <n v="6"/>
    <n v="0"/>
    <n v="0"/>
    <n v="0"/>
    <n v="0"/>
    <n v="0"/>
    <n v="1688"/>
  </r>
  <r>
    <x v="31"/>
    <x v="26"/>
    <x v="5"/>
    <n v="0"/>
    <n v="0"/>
    <n v="0"/>
    <n v="0"/>
    <n v="0"/>
    <n v="0"/>
    <n v="1688"/>
  </r>
  <r>
    <x v="31"/>
    <x v="27"/>
    <x v="6"/>
    <n v="1"/>
    <n v="0"/>
    <n v="0"/>
    <n v="0"/>
    <n v="0"/>
    <n v="0"/>
    <n v="1688"/>
  </r>
  <r>
    <x v="31"/>
    <x v="28"/>
    <x v="0"/>
    <n v="2"/>
    <n v="0"/>
    <n v="0"/>
    <n v="0"/>
    <n v="0"/>
    <n v="0"/>
    <n v="57"/>
  </r>
  <r>
    <x v="32"/>
    <x v="0"/>
    <x v="0"/>
    <n v="2"/>
    <n v="23186"/>
    <n v="20.399999618530298"/>
    <n v="85"/>
    <n v="7"/>
    <n v="312"/>
    <n v="3921"/>
  </r>
  <r>
    <x v="32"/>
    <x v="1"/>
    <x v="1"/>
    <n v="3"/>
    <n v="15337"/>
    <n v="9.5799999237060494"/>
    <n v="108"/>
    <n v="18"/>
    <n v="216"/>
    <n v="3566"/>
  </r>
  <r>
    <x v="32"/>
    <x v="2"/>
    <x v="2"/>
    <n v="4"/>
    <n v="21129"/>
    <n v="18.9799995422363"/>
    <n v="68"/>
    <n v="13"/>
    <n v="298"/>
    <n v="3793"/>
  </r>
  <r>
    <x v="32"/>
    <x v="3"/>
    <x v="3"/>
    <n v="5"/>
    <n v="13422"/>
    <n v="7.1700000762939498"/>
    <n v="106"/>
    <n v="1"/>
    <n v="281"/>
    <n v="3934"/>
  </r>
  <r>
    <x v="32"/>
    <x v="4"/>
    <x v="4"/>
    <n v="6"/>
    <n v="29326"/>
    <n v="25.290000915527301"/>
    <n v="94"/>
    <n v="29"/>
    <n v="429"/>
    <n v="4547"/>
  </r>
  <r>
    <x v="32"/>
    <x v="5"/>
    <x v="5"/>
    <n v="0"/>
    <n v="15118"/>
    <n v="8.8699998855590803"/>
    <n v="58"/>
    <n v="15"/>
    <n v="307"/>
    <n v="3545"/>
  </r>
  <r>
    <x v="32"/>
    <x v="6"/>
    <x v="6"/>
    <n v="1"/>
    <n v="11423"/>
    <n v="8.6700000762939506"/>
    <n v="29"/>
    <n v="5"/>
    <n v="191"/>
    <n v="2761"/>
  </r>
  <r>
    <x v="32"/>
    <x v="7"/>
    <x v="0"/>
    <n v="2"/>
    <n v="18785"/>
    <n v="17.399999618530298"/>
    <n v="82"/>
    <n v="13"/>
    <n v="214"/>
    <n v="3676"/>
  </r>
  <r>
    <x v="32"/>
    <x v="8"/>
    <x v="1"/>
    <n v="3"/>
    <n v="19948"/>
    <n v="18.110000610351602"/>
    <n v="73"/>
    <n v="19"/>
    <n v="225"/>
    <n v="3679"/>
  </r>
  <r>
    <x v="32"/>
    <x v="9"/>
    <x v="2"/>
    <n v="4"/>
    <n v="19377"/>
    <n v="17.620000839233398"/>
    <n v="82"/>
    <n v="13"/>
    <n v="226"/>
    <n v="3659"/>
  </r>
  <r>
    <x v="32"/>
    <x v="10"/>
    <x v="3"/>
    <n v="5"/>
    <n v="18258"/>
    <n v="16.309999465942401"/>
    <n v="61"/>
    <n v="2"/>
    <n v="236"/>
    <n v="3427"/>
  </r>
  <r>
    <x v="32"/>
    <x v="11"/>
    <x v="4"/>
    <n v="6"/>
    <n v="11200"/>
    <n v="7.4299998283386204"/>
    <n v="102"/>
    <n v="6"/>
    <n v="300"/>
    <n v="3891"/>
  </r>
  <r>
    <x v="32"/>
    <x v="12"/>
    <x v="5"/>
    <n v="0"/>
    <n v="16674"/>
    <n v="15.7399997711182"/>
    <n v="64"/>
    <n v="1"/>
    <n v="227"/>
    <n v="3455"/>
  </r>
  <r>
    <x v="32"/>
    <x v="13"/>
    <x v="6"/>
    <n v="1"/>
    <n v="12986"/>
    <n v="8.7399997711181605"/>
    <n v="113"/>
    <n v="8"/>
    <n v="218"/>
    <n v="3802"/>
  </r>
  <r>
    <x v="32"/>
    <x v="14"/>
    <x v="0"/>
    <n v="2"/>
    <n v="11101"/>
    <n v="8.4300003051757795"/>
    <n v="22"/>
    <n v="3"/>
    <n v="258"/>
    <n v="2860"/>
  </r>
  <r>
    <x v="32"/>
    <x v="15"/>
    <x v="1"/>
    <n v="3"/>
    <n v="23629"/>
    <n v="20.649999618530298"/>
    <n v="93"/>
    <n v="8"/>
    <n v="235"/>
    <n v="3808"/>
  </r>
  <r>
    <x v="32"/>
    <x v="16"/>
    <x v="2"/>
    <n v="4"/>
    <n v="14890"/>
    <n v="11.300000190734901"/>
    <n v="58"/>
    <n v="8"/>
    <n v="231"/>
    <n v="3060"/>
  </r>
  <r>
    <x v="32"/>
    <x v="17"/>
    <x v="3"/>
    <n v="5"/>
    <n v="9733"/>
    <n v="7.3899998664856001"/>
    <n v="18"/>
    <n v="5"/>
    <n v="210"/>
    <n v="2698"/>
  </r>
  <r>
    <x v="32"/>
    <x v="18"/>
    <x v="4"/>
    <n v="6"/>
    <n v="27745"/>
    <n v="26.719999313354499"/>
    <n v="124"/>
    <n v="4"/>
    <n v="223"/>
    <n v="4398"/>
  </r>
  <r>
    <x v="32"/>
    <x v="19"/>
    <x v="5"/>
    <n v="0"/>
    <n v="10930"/>
    <n v="8.3199996948242205"/>
    <n v="36"/>
    <n v="12"/>
    <n v="166"/>
    <n v="2786"/>
  </r>
  <r>
    <x v="32"/>
    <x v="20"/>
    <x v="6"/>
    <n v="1"/>
    <n v="4790"/>
    <n v="3.6400001049041699"/>
    <n v="0"/>
    <n v="0"/>
    <n v="105"/>
    <n v="2189"/>
  </r>
  <r>
    <x v="32"/>
    <x v="21"/>
    <x v="0"/>
    <n v="2"/>
    <n v="10818"/>
    <n v="8.2100000381469709"/>
    <n v="19"/>
    <n v="3"/>
    <n v="229"/>
    <n v="2817"/>
  </r>
  <r>
    <x v="32"/>
    <x v="22"/>
    <x v="1"/>
    <n v="3"/>
    <n v="18193"/>
    <n v="16.299999237060501"/>
    <n v="66"/>
    <n v="8"/>
    <n v="212"/>
    <n v="3477"/>
  </r>
  <r>
    <x v="32"/>
    <x v="23"/>
    <x v="2"/>
    <n v="4"/>
    <n v="14055"/>
    <n v="10.670000076293899"/>
    <n v="67"/>
    <n v="15"/>
    <n v="188"/>
    <n v="3052"/>
  </r>
  <r>
    <x v="32"/>
    <x v="24"/>
    <x v="3"/>
    <n v="5"/>
    <n v="21727"/>
    <n v="19.340000152587901"/>
    <n v="96"/>
    <n v="17"/>
    <n v="232"/>
    <n v="4015"/>
  </r>
  <r>
    <x v="32"/>
    <x v="25"/>
    <x v="4"/>
    <n v="6"/>
    <n v="12332"/>
    <n v="8.1300001144409197"/>
    <n v="105"/>
    <n v="28"/>
    <n v="271"/>
    <n v="4142"/>
  </r>
  <r>
    <x v="32"/>
    <x v="26"/>
    <x v="5"/>
    <n v="0"/>
    <n v="10686"/>
    <n v="8.1099996566772496"/>
    <n v="17"/>
    <n v="4"/>
    <n v="245"/>
    <n v="2847"/>
  </r>
  <r>
    <x v="32"/>
    <x v="27"/>
    <x v="6"/>
    <n v="1"/>
    <n v="20226"/>
    <n v="18.25"/>
    <n v="73"/>
    <n v="19"/>
    <n v="217"/>
    <n v="3710"/>
  </r>
  <r>
    <x v="32"/>
    <x v="28"/>
    <x v="0"/>
    <n v="2"/>
    <n v="10733"/>
    <n v="8.1499996185302699"/>
    <n v="18"/>
    <n v="11"/>
    <n v="224"/>
    <n v="2832"/>
  </r>
  <r>
    <x v="32"/>
    <x v="29"/>
    <x v="1"/>
    <n v="3"/>
    <n v="21420"/>
    <n v="19.559999465942401"/>
    <n v="88"/>
    <n v="12"/>
    <n v="213"/>
    <n v="3832"/>
  </r>
  <r>
    <x v="32"/>
    <x v="30"/>
    <x v="2"/>
    <n v="4"/>
    <n v="8064"/>
    <n v="6.1199998855590803"/>
    <n v="23"/>
    <n v="1"/>
    <n v="137"/>
    <n v="184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n v="31"/>
    <x v="0"/>
    <n v="7.8096773855147834"/>
    <x v="0"/>
    <n v="375619"/>
    <n v="12116.741935483871"/>
    <n v="56309"/>
    <n v="1816.4193548387098"/>
    <n v="219.93548387096774"/>
    <n v="19.161290322580644"/>
    <n v="38.70967741935484"/>
  </r>
  <r>
    <x v="1"/>
    <n v="31"/>
    <x v="0"/>
    <n v="3.9148387293661795"/>
    <x v="1"/>
    <n v="178061"/>
    <n v="5743.9032258064517"/>
    <n v="45984"/>
    <n v="1483.3548387096773"/>
    <n v="153.48387096774192"/>
    <n v="5.806451612903226"/>
    <n v="8.67741935483871"/>
  </r>
  <r>
    <x v="2"/>
    <n v="30"/>
    <x v="0"/>
    <n v="5.2953333536783873"/>
    <x v="0"/>
    <n v="218489"/>
    <n v="7282.9666666666662"/>
    <n v="84339"/>
    <n v="2811.3"/>
    <n v="178.46666666666667"/>
    <n v="21.366666666666667"/>
    <n v="9.5666666666666664"/>
  </r>
  <r>
    <x v="3"/>
    <n v="31"/>
    <x v="0"/>
    <n v="1.7061290368437778"/>
    <x v="1"/>
    <n v="79982"/>
    <n v="2580.0645161290322"/>
    <n v="48778"/>
    <n v="1573.483870967742"/>
    <n v="115.45161290322581"/>
    <n v="1.2903225806451613"/>
    <n v="0.12903225806451613"/>
  </r>
  <r>
    <x v="4"/>
    <n v="31"/>
    <x v="0"/>
    <n v="0.63451612308140759"/>
    <x v="1"/>
    <n v="28400"/>
    <n v="916.12903225806451"/>
    <n v="67357"/>
    <n v="2172.8064516129034"/>
    <n v="38.58064516129032"/>
    <n v="0.77419354838709675"/>
    <n v="1.3225806451612903"/>
  </r>
  <r>
    <x v="5"/>
    <n v="31"/>
    <x v="0"/>
    <n v="8.0841934911666371"/>
    <x v="0"/>
    <n v="352490"/>
    <n v="11370.645161290322"/>
    <n v="77809"/>
    <n v="2509.9677419354839"/>
    <n v="257.45161290322579"/>
    <n v="19.35483870967742"/>
    <n v="36.29032258064516"/>
  </r>
  <r>
    <x v="6"/>
    <n v="31"/>
    <x v="0"/>
    <n v="3.4548387152533384"/>
    <x v="1"/>
    <n v="172573"/>
    <n v="5566.8709677419356"/>
    <n v="47760"/>
    <n v="1540.6451612903227"/>
    <n v="256.64516129032256"/>
    <n v="0.25806451612903225"/>
    <n v="9.6774193548387094E-2"/>
  </r>
  <r>
    <x v="7"/>
    <n v="31"/>
    <x v="0"/>
    <n v="3.1877419044894557"/>
    <x v="1"/>
    <n v="146223"/>
    <n v="4716.8709677419356"/>
    <n v="53449"/>
    <n v="1724.1612903225807"/>
    <n v="198.19354838709677"/>
    <n v="2.5806451612903225"/>
    <n v="1.3548387096774193"/>
  </r>
  <r>
    <x v="8"/>
    <n v="18"/>
    <x v="1"/>
    <n v="6.3555555359150011"/>
    <x v="0"/>
    <n v="171354"/>
    <n v="9519.6666666666661"/>
    <n v="36782"/>
    <n v="2043.4444444444443"/>
    <n v="252.5"/>
    <n v="20.555555555555557"/>
    <n v="13.5"/>
  </r>
  <r>
    <x v="9"/>
    <n v="31"/>
    <x v="0"/>
    <n v="5.1016128601566439"/>
    <x v="0"/>
    <n v="234229"/>
    <n v="7555.7741935483873"/>
    <n v="59426"/>
    <n v="1916.9677419354839"/>
    <n v="308"/>
    <n v="6.129032258064516"/>
    <n v="14.096774193548388"/>
  </r>
  <r>
    <x v="10"/>
    <n v="20"/>
    <x v="1"/>
    <n v="4.707000041007996"/>
    <x v="1"/>
    <n v="137233"/>
    <n v="6861.65"/>
    <n v="38662"/>
    <n v="1933.1"/>
    <n v="327.9"/>
    <n v="4.0999999999999996"/>
    <n v="9.15"/>
  </r>
  <r>
    <x v="11"/>
    <n v="30"/>
    <x v="0"/>
    <n v="7.5169999440511095"/>
    <x v="0"/>
    <n v="329537"/>
    <n v="10984.566666666668"/>
    <n v="45410"/>
    <n v="1513.6666666666667"/>
    <n v="174.76666666666668"/>
    <n v="61.266666666666666"/>
    <n v="18.899999999999999"/>
  </r>
  <r>
    <x v="12"/>
    <n v="31"/>
    <x v="0"/>
    <n v="1.6261290389323431"/>
    <x v="1"/>
    <n v="70284"/>
    <n v="2267.2258064516127"/>
    <n v="73960"/>
    <n v="2385.8064516129034"/>
    <n v="76.935483870967744"/>
    <n v="5.354838709677419"/>
    <n v="5.193548387096774"/>
  </r>
  <r>
    <x v="13"/>
    <n v="4"/>
    <x v="2"/>
    <n v="2.8625000119209298"/>
    <x v="1"/>
    <n v="15352"/>
    <n v="3838"/>
    <n v="7895"/>
    <n v="1973.75"/>
    <n v="103"/>
    <n v="1.5"/>
    <n v="0.75"/>
  </r>
  <r>
    <x v="14"/>
    <n v="31"/>
    <x v="0"/>
    <n v="4.8922580470361057"/>
    <x v="1"/>
    <n v="225334"/>
    <n v="7268.8387096774195"/>
    <n v="63168"/>
    <n v="2037.6774193548388"/>
    <n v="228.7741935483871"/>
    <n v="12.32258064516129"/>
    <n v="3.5806451612903225"/>
  </r>
  <r>
    <x v="15"/>
    <n v="31"/>
    <x v="0"/>
    <n v="8.393225892897572"/>
    <x v="0"/>
    <n v="335232"/>
    <n v="10813.935483870968"/>
    <n v="95910"/>
    <n v="3093.8709677419356"/>
    <n v="229.35483870967741"/>
    <n v="20.35483870967742"/>
    <n v="23.161290322580644"/>
  </r>
  <r>
    <x v="16"/>
    <n v="31"/>
    <x v="0"/>
    <n v="3.2458064402303388"/>
    <x v="1"/>
    <n v="148693"/>
    <n v="4796.5483870967746"/>
    <n v="67772"/>
    <n v="2186.1935483870966"/>
    <n v="209.09677419354838"/>
    <n v="1.7419354838709677"/>
    <n v="6.612903225806452"/>
  </r>
  <r>
    <x v="17"/>
    <n v="31"/>
    <x v="0"/>
    <n v="5.0806451766721663"/>
    <x v="0"/>
    <n v="238239"/>
    <n v="7685.1290322580644"/>
    <n v="63031"/>
    <n v="2033.258064516129"/>
    <n v="284.96774193548384"/>
    <n v="13.709677419354838"/>
    <n v="10.387096774193548"/>
  </r>
  <r>
    <x v="18"/>
    <n v="31"/>
    <x v="0"/>
    <n v="6.9551612830931147"/>
    <x v="0"/>
    <n v="265734"/>
    <n v="8572.0645161290322"/>
    <n v="91932"/>
    <n v="2965.5483870967741"/>
    <n v="237.48387096774192"/>
    <n v="26.032258064516128"/>
    <n v="5.129032258064516"/>
  </r>
  <r>
    <x v="19"/>
    <n v="31"/>
    <x v="0"/>
    <n v="5.6396774495801596"/>
    <x v="0"/>
    <n v="266990"/>
    <n v="8612.5806451612898"/>
    <n v="58146"/>
    <n v="1875.6774193548388"/>
    <n v="206.19354838709677"/>
    <n v="13"/>
    <n v="23.419354838709676"/>
  </r>
  <r>
    <x v="20"/>
    <n v="30"/>
    <x v="0"/>
    <n v="6.2133333047231041"/>
    <x v="0"/>
    <n v="249133"/>
    <n v="8304.4333333333325"/>
    <n v="100789"/>
    <n v="3359.6333333333332"/>
    <n v="147.93333333333334"/>
    <n v="29.833333333333332"/>
    <n v="87.333333333333329"/>
  </r>
  <r>
    <x v="21"/>
    <n v="28"/>
    <x v="0"/>
    <n v="5.342142914022717"/>
    <x v="0"/>
    <n v="197308"/>
    <n v="7046.7142857142853"/>
    <n v="63312"/>
    <n v="2261.1428571428573"/>
    <n v="288.35714285714283"/>
    <n v="2.0357142857142856"/>
    <n v="1.5714285714285714"/>
  </r>
  <r>
    <x v="22"/>
    <n v="29"/>
    <x v="0"/>
    <n v="4.2724138046133104"/>
    <x v="1"/>
    <n v="163837"/>
    <n v="5649.5517241379312"/>
    <n v="75389"/>
    <n v="2599.6206896551726"/>
    <n v="227.44827586206895"/>
    <n v="3.7931034482758621"/>
    <n v="2.7586206896551726"/>
  </r>
  <r>
    <x v="23"/>
    <n v="26"/>
    <x v="0"/>
    <n v="1.8134615161241252"/>
    <x v="1"/>
    <n v="65512"/>
    <n v="2519.6923076923076"/>
    <n v="55426"/>
    <n v="2131.7692307692309"/>
    <n v="40.153846153846153"/>
    <n v="14.807692307692308"/>
    <n v="11"/>
  </r>
  <r>
    <x v="24"/>
    <n v="31"/>
    <x v="0"/>
    <n v="6.585806477454403"/>
    <x v="0"/>
    <n v="303639"/>
    <n v="9794.8064516129034"/>
    <n v="61443"/>
    <n v="1982.0322580645161"/>
    <n v="245.80645161290323"/>
    <n v="18.516129032258064"/>
    <n v="22.806451612903224"/>
  </r>
  <r>
    <x v="25"/>
    <n v="26"/>
    <x v="0"/>
    <n v="8.0153845915427571"/>
    <x v="0"/>
    <n v="294409"/>
    <n v="11323.423076923076"/>
    <n v="66144"/>
    <n v="2544"/>
    <n v="280.73076923076923"/>
    <n v="16.26923076923077"/>
    <n v="31.03846153846154"/>
  </r>
  <r>
    <x v="26"/>
    <n v="31"/>
    <x v="0"/>
    <n v="6.3880645078156268"/>
    <x v="0"/>
    <n v="290525"/>
    <n v="9371.7741935483864"/>
    <n v="79557"/>
    <n v="2566.3548387096776"/>
    <n v="143.83870967741936"/>
    <n v="25.35483870967742"/>
    <n v="42.58064516129032"/>
  </r>
  <r>
    <x v="27"/>
    <n v="31"/>
    <x v="0"/>
    <n v="11.475161198646786"/>
    <x v="2"/>
    <n v="457662"/>
    <n v="14763.290322580646"/>
    <n v="91320"/>
    <n v="2945.8064516129034"/>
    <n v="150.96774193548387"/>
    <n v="9.5806451612903221"/>
    <n v="85.161290322580641"/>
  </r>
  <r>
    <x v="28"/>
    <n v="19"/>
    <x v="1"/>
    <n v="4.6673684684853809"/>
    <x v="1"/>
    <n v="123161"/>
    <n v="6482.1578947368425"/>
    <n v="33972"/>
    <n v="1788"/>
    <n v="116.89473684210526"/>
    <n v="14.315789473684211"/>
    <n v="20.526315789473685"/>
  </r>
  <r>
    <x v="29"/>
    <n v="31"/>
    <x v="0"/>
    <n v="6.9135484618525318"/>
    <x v="0"/>
    <n v="270249"/>
    <n v="8717.7096774193542"/>
    <n v="106534"/>
    <n v="3436.5806451612902"/>
    <n v="156.09677419354838"/>
    <n v="10.258064516129032"/>
    <n v="58.677419354838712"/>
  </r>
  <r>
    <x v="30"/>
    <n v="31"/>
    <x v="0"/>
    <n v="5.6154838223611172"/>
    <x v="0"/>
    <n v="223154"/>
    <n v="7198.5161290322585"/>
    <n v="84693"/>
    <n v="2732.0322580645161"/>
    <n v="138.29032258064515"/>
    <n v="22.193548387096776"/>
    <n v="9.67741935483871"/>
  </r>
  <r>
    <x v="31"/>
    <n v="29"/>
    <x v="0"/>
    <n v="1.1865517168209478"/>
    <x v="1"/>
    <n v="53758"/>
    <n v="1853.7241379310344"/>
    <n v="56907"/>
    <n v="1962.3103448275863"/>
    <n v="91.793103448275858"/>
    <n v="4.0344827586206895"/>
    <n v="0.96551724137931039"/>
  </r>
  <r>
    <x v="32"/>
    <n v="31"/>
    <x v="0"/>
    <n v="13.212903138129944"/>
    <x v="2"/>
    <n v="497241"/>
    <n v="16040.032258064517"/>
    <n v="106028"/>
    <n v="3420.2580645161293"/>
    <n v="234.70967741935485"/>
    <n v="9.935483870967742"/>
    <n v="66.0645161290322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15F01B-8B03-42F4-80EA-24BF2C8154C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Day">
  <location ref="E1:G8" firstHeaderRow="0" firstDataRow="1" firstDataCol="1"/>
  <pivotFields count="12">
    <pivotField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8">
        <item x="6"/>
        <item x="0"/>
        <item x="1"/>
        <item x="2"/>
        <item x="3"/>
        <item x="4"/>
        <item x="5"/>
        <item t="default"/>
      </items>
    </pivotField>
    <pivotField showAll="0"/>
    <pivotField showAll="0"/>
    <pivotField dataField="1"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x v="6"/>
    </i>
  </rowItems>
  <colFields count="1">
    <field x="-2"/>
  </colFields>
  <colItems count="2">
    <i>
      <x/>
    </i>
    <i i="1">
      <x v="1"/>
    </i>
  </colItems>
  <dataFields count="2">
    <dataField name="Average Distance" fld="5" subtotal="average" baseField="2" baseItem="0"/>
    <dataField name="Average Calories" fld="9" subtotal="average" baseField="2" baseItem="0"/>
  </dataFields>
  <chartFormats count="5">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4" format="6">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B5178E-E794-4B39-944C-F1B4E71457B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rowHeaderCaption="Date">
  <location ref="A1:C32" firstHeaderRow="0" firstDataRow="1" firstDataCol="1"/>
  <pivotFields count="12">
    <pivotField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axis="axisRow"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8">
        <item x="6"/>
        <item x="0"/>
        <item x="1"/>
        <item x="2"/>
        <item x="3"/>
        <item x="4"/>
        <item x="5"/>
        <item t="default"/>
      </items>
    </pivotField>
    <pivotField showAll="0"/>
    <pivotField showAll="0"/>
    <pivotField dataField="1"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2">
    <i>
      <x/>
    </i>
    <i i="1">
      <x v="1"/>
    </i>
  </colItems>
  <dataFields count="2">
    <dataField name="Average Distance" fld="5" subtotal="average" baseField="1" baseItem="0"/>
    <dataField name="Average Calories" fld="9" subtotal="average" baseField="1"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6D7A5A-4489-4CFD-BF1A-CB62149F8657}"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User Id">
  <location ref="G1:I6" firstHeaderRow="0" firstDataRow="1" firstDataCol="1"/>
  <pivotFields count="12">
    <pivotField axis="axisRow" showAll="0" measureFilter="1" sortType="ascending">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numFmtId="2" showAll="0"/>
    <pivotField showAll="0"/>
    <pivotField showAll="0"/>
    <pivotField dataField="1" numFmtId="2" showAll="0"/>
    <pivotField showAll="0"/>
    <pivotField dataField="1" numFmtId="2" showAll="0"/>
    <pivotField numFmtId="2" showAll="0"/>
    <pivotField numFmtId="2" showAll="0"/>
    <pivotField numFmtId="2" showAll="0"/>
  </pivotFields>
  <rowFields count="1">
    <field x="0"/>
  </rowFields>
  <rowItems count="5">
    <i>
      <x v="25"/>
    </i>
    <i>
      <x v="5"/>
    </i>
    <i>
      <x/>
    </i>
    <i>
      <x v="27"/>
    </i>
    <i>
      <x v="32"/>
    </i>
  </rowItems>
  <colFields count="1">
    <field x="-2"/>
  </colFields>
  <colItems count="2">
    <i>
      <x/>
    </i>
    <i i="1">
      <x v="1"/>
    </i>
  </colItems>
  <dataFields count="2">
    <dataField name="Average of Daily Steps" fld="6" subtotal="average" baseField="0" baseItem="32" numFmtId="2"/>
    <dataField name="Average of Daily Calories" fld="8" subtotal="average" baseField="0" baseItem="32"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09BA9C-B733-40B1-9A87-D96CE7AF0728}"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Travel Activity">
  <location ref="D1:E4" firstHeaderRow="1" firstDataRow="1" firstDataCol="1"/>
  <pivotFields count="12">
    <pivotField dataField="1" showAll="0"/>
    <pivotField showAll="0"/>
    <pivotField showAll="0">
      <items count="4">
        <item x="0"/>
        <item x="2"/>
        <item x="1"/>
        <item t="default"/>
      </items>
    </pivotField>
    <pivotField numFmtId="2" showAll="0"/>
    <pivotField axis="axisRow" showAll="0">
      <items count="4">
        <item x="1"/>
        <item x="0"/>
        <item x="2"/>
        <item t="default"/>
      </items>
    </pivotField>
    <pivotField showAll="0"/>
    <pivotField numFmtId="2" showAll="0"/>
    <pivotField showAll="0"/>
    <pivotField numFmtId="2" showAll="0"/>
    <pivotField numFmtId="2" showAll="0"/>
    <pivotField numFmtId="2" showAll="0"/>
    <pivotField numFmtId="2" showAll="0"/>
  </pivotFields>
  <rowFields count="1">
    <field x="4"/>
  </rowFields>
  <rowItems count="3">
    <i>
      <x/>
    </i>
    <i>
      <x v="1"/>
    </i>
    <i>
      <x v="2"/>
    </i>
  </rowItems>
  <colItems count="1">
    <i/>
  </colItems>
  <dataFields count="1">
    <dataField name="Count of Users" fld="0" subtotal="count"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90D8D3-8BBA-4303-BAD1-DAB99CCCA2BA}"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Gear Useage">
  <location ref="A1:B4" firstHeaderRow="1" firstDataRow="1" firstDataCol="1"/>
  <pivotFields count="12">
    <pivotField dataField="1" showAll="0"/>
    <pivotField showAll="0"/>
    <pivotField axis="axisRow" showAll="0">
      <items count="4">
        <item x="0"/>
        <item x="2"/>
        <item x="1"/>
        <item t="default"/>
      </items>
    </pivotField>
    <pivotField numFmtId="2" showAll="0"/>
    <pivotField showAll="0"/>
    <pivotField showAll="0"/>
    <pivotField numFmtId="2" showAll="0"/>
    <pivotField showAll="0"/>
    <pivotField numFmtId="2" showAll="0"/>
    <pivotField numFmtId="2" showAll="0"/>
    <pivotField numFmtId="2" showAll="0"/>
    <pivotField numFmtId="2" showAll="0"/>
  </pivotFields>
  <rowFields count="1">
    <field x="2"/>
  </rowFields>
  <rowItems count="3">
    <i>
      <x/>
    </i>
    <i>
      <x v="1"/>
    </i>
    <i>
      <x v="2"/>
    </i>
  </rowItems>
  <colItems count="1">
    <i/>
  </colItems>
  <dataFields count="1">
    <dataField name="Count of Users" fld="0" subtotal="count" baseField="2"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 xr10:uid="{F467FFE9-C9E0-4C03-A0AE-D7CC331762FE}" sourceName="Id">
  <pivotTables>
    <pivotTable tabId="5" name="PivotTable2"/>
    <pivotTable tabId="5" name="PivotTable1"/>
  </pivotTables>
  <data>
    <tabular pivotCacheId="573142069">
      <items count="3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1" xr10:uid="{481A137E-F505-42C2-9482-E269D3CC42E9}" cache="Slicer_Id" caption="User Id Filt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xr10:uid="{8765CF94-600C-4B16-B8B9-DB787F3BB01E}" cache="Slicer_Id" caption="Customer I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47BFB-7C7B-40EC-8031-5ECB0FD3D17D}">
  <dimension ref="A1:P941"/>
  <sheetViews>
    <sheetView tabSelected="1" workbookViewId="0"/>
  </sheetViews>
  <sheetFormatPr defaultRowHeight="14.4" x14ac:dyDescent="0.3"/>
  <cols>
    <col min="1" max="1" width="11" bestFit="1" customWidth="1"/>
    <col min="2" max="2" width="11.21875" bestFit="1" customWidth="1"/>
    <col min="3" max="3" width="10.44140625" bestFit="1" customWidth="1"/>
    <col min="4" max="4" width="11.6640625" customWidth="1"/>
    <col min="5" max="5" width="9.77734375" bestFit="1" customWidth="1"/>
    <col min="6" max="6" width="12.33203125" bestFit="1" customWidth="1"/>
    <col min="7" max="7" width="17.21875" bestFit="1" customWidth="1"/>
    <col min="8" max="8" width="17.77734375" bestFit="1" customWidth="1"/>
    <col min="9" max="9" width="18.88671875" bestFit="1" customWidth="1"/>
    <col min="10" max="10" width="7.5546875" bestFit="1" customWidth="1"/>
  </cols>
  <sheetData>
    <row r="1" spans="1:16" x14ac:dyDescent="0.3">
      <c r="A1" s="17" t="s">
        <v>0</v>
      </c>
      <c r="B1" s="18" t="s">
        <v>1</v>
      </c>
      <c r="C1" s="18" t="s">
        <v>8</v>
      </c>
      <c r="D1" s="18" t="s">
        <v>9</v>
      </c>
      <c r="E1" s="18" t="s">
        <v>2</v>
      </c>
      <c r="F1" s="18" t="s">
        <v>3</v>
      </c>
      <c r="G1" s="18" t="s">
        <v>4</v>
      </c>
      <c r="H1" s="18" t="s">
        <v>5</v>
      </c>
      <c r="I1" s="18" t="s">
        <v>6</v>
      </c>
      <c r="J1" s="19" t="s">
        <v>7</v>
      </c>
    </row>
    <row r="2" spans="1:16" ht="14.4" customHeight="1" x14ac:dyDescent="0.3">
      <c r="A2" s="20">
        <v>1503960366</v>
      </c>
      <c r="B2" s="21">
        <v>42472</v>
      </c>
      <c r="C2" s="22" t="s">
        <v>10</v>
      </c>
      <c r="D2" s="22">
        <v>2</v>
      </c>
      <c r="E2" s="22">
        <v>13162</v>
      </c>
      <c r="F2" s="22">
        <v>8.5</v>
      </c>
      <c r="G2" s="22">
        <v>25</v>
      </c>
      <c r="H2" s="22">
        <v>13</v>
      </c>
      <c r="I2" s="22">
        <v>328</v>
      </c>
      <c r="J2" s="23">
        <v>1985</v>
      </c>
      <c r="L2" s="29" t="s">
        <v>27</v>
      </c>
      <c r="M2" s="30"/>
      <c r="N2" s="30"/>
      <c r="O2" s="30"/>
      <c r="P2" s="31"/>
    </row>
    <row r="3" spans="1:16" x14ac:dyDescent="0.3">
      <c r="A3" s="20">
        <v>1503960366</v>
      </c>
      <c r="B3" s="21">
        <v>42473</v>
      </c>
      <c r="C3" s="22" t="s">
        <v>11</v>
      </c>
      <c r="D3" s="22">
        <v>3</v>
      </c>
      <c r="E3" s="22">
        <v>10735</v>
      </c>
      <c r="F3" s="22">
        <v>6.9699997901916504</v>
      </c>
      <c r="G3" s="22">
        <v>21</v>
      </c>
      <c r="H3" s="22">
        <v>19</v>
      </c>
      <c r="I3" s="22">
        <v>217</v>
      </c>
      <c r="J3" s="23">
        <v>1797</v>
      </c>
      <c r="L3" s="32"/>
      <c r="M3" s="33"/>
      <c r="N3" s="33"/>
      <c r="O3" s="33"/>
      <c r="P3" s="34"/>
    </row>
    <row r="4" spans="1:16" x14ac:dyDescent="0.3">
      <c r="A4" s="20">
        <v>1503960366</v>
      </c>
      <c r="B4" s="21">
        <v>42474</v>
      </c>
      <c r="C4" s="22" t="s">
        <v>12</v>
      </c>
      <c r="D4" s="22">
        <v>4</v>
      </c>
      <c r="E4" s="22">
        <v>10460</v>
      </c>
      <c r="F4" s="22">
        <v>6.7399997711181596</v>
      </c>
      <c r="G4" s="22">
        <v>30</v>
      </c>
      <c r="H4" s="22">
        <v>11</v>
      </c>
      <c r="I4" s="22">
        <v>181</v>
      </c>
      <c r="J4" s="23">
        <v>1776</v>
      </c>
      <c r="L4" s="32"/>
      <c r="M4" s="33"/>
      <c r="N4" s="33"/>
      <c r="O4" s="33"/>
      <c r="P4" s="34"/>
    </row>
    <row r="5" spans="1:16" x14ac:dyDescent="0.3">
      <c r="A5" s="20">
        <v>1503960366</v>
      </c>
      <c r="B5" s="21">
        <v>42475</v>
      </c>
      <c r="C5" s="22" t="s">
        <v>13</v>
      </c>
      <c r="D5" s="22">
        <v>5</v>
      </c>
      <c r="E5" s="22">
        <v>9762</v>
      </c>
      <c r="F5" s="22">
        <v>6.2800002098083496</v>
      </c>
      <c r="G5" s="22">
        <v>29</v>
      </c>
      <c r="H5" s="22">
        <v>34</v>
      </c>
      <c r="I5" s="22">
        <v>209</v>
      </c>
      <c r="J5" s="23">
        <v>1745</v>
      </c>
      <c r="L5" s="32"/>
      <c r="M5" s="33"/>
      <c r="N5" s="33"/>
      <c r="O5" s="33"/>
      <c r="P5" s="34"/>
    </row>
    <row r="6" spans="1:16" x14ac:dyDescent="0.3">
      <c r="A6" s="20">
        <v>1503960366</v>
      </c>
      <c r="B6" s="21">
        <v>42476</v>
      </c>
      <c r="C6" s="22" t="s">
        <v>14</v>
      </c>
      <c r="D6" s="22">
        <v>6</v>
      </c>
      <c r="E6" s="22">
        <v>12669</v>
      </c>
      <c r="F6" s="22">
        <v>8.1599998474121094</v>
      </c>
      <c r="G6" s="22">
        <v>36</v>
      </c>
      <c r="H6" s="22">
        <v>10</v>
      </c>
      <c r="I6" s="22">
        <v>221</v>
      </c>
      <c r="J6" s="23">
        <v>1863</v>
      </c>
      <c r="L6" s="32"/>
      <c r="M6" s="33"/>
      <c r="N6" s="33"/>
      <c r="O6" s="33"/>
      <c r="P6" s="34"/>
    </row>
    <row r="7" spans="1:16" x14ac:dyDescent="0.3">
      <c r="A7" s="20">
        <v>1503960366</v>
      </c>
      <c r="B7" s="21">
        <v>42477</v>
      </c>
      <c r="C7" s="22" t="s">
        <v>15</v>
      </c>
      <c r="D7" s="22">
        <v>0</v>
      </c>
      <c r="E7" s="22">
        <v>9705</v>
      </c>
      <c r="F7" s="22">
        <v>6.4800000190734899</v>
      </c>
      <c r="G7" s="22">
        <v>38</v>
      </c>
      <c r="H7" s="22">
        <v>20</v>
      </c>
      <c r="I7" s="22">
        <v>164</v>
      </c>
      <c r="J7" s="23">
        <v>1728</v>
      </c>
      <c r="L7" s="32"/>
      <c r="M7" s="33"/>
      <c r="N7" s="33"/>
      <c r="O7" s="33"/>
      <c r="P7" s="34"/>
    </row>
    <row r="8" spans="1:16" x14ac:dyDescent="0.3">
      <c r="A8" s="20">
        <v>1503960366</v>
      </c>
      <c r="B8" s="21">
        <v>42478</v>
      </c>
      <c r="C8" s="22" t="s">
        <v>16</v>
      </c>
      <c r="D8" s="22">
        <v>1</v>
      </c>
      <c r="E8" s="22">
        <v>13019</v>
      </c>
      <c r="F8" s="22">
        <v>8.5900001525878906</v>
      </c>
      <c r="G8" s="22">
        <v>42</v>
      </c>
      <c r="H8" s="22">
        <v>16</v>
      </c>
      <c r="I8" s="22">
        <v>233</v>
      </c>
      <c r="J8" s="23">
        <v>1921</v>
      </c>
      <c r="L8" s="32"/>
      <c r="M8" s="33"/>
      <c r="N8" s="33"/>
      <c r="O8" s="33"/>
      <c r="P8" s="34"/>
    </row>
    <row r="9" spans="1:16" x14ac:dyDescent="0.3">
      <c r="A9" s="20">
        <v>1503960366</v>
      </c>
      <c r="B9" s="21">
        <v>42479</v>
      </c>
      <c r="C9" s="22" t="s">
        <v>10</v>
      </c>
      <c r="D9" s="22">
        <v>2</v>
      </c>
      <c r="E9" s="22">
        <v>15506</v>
      </c>
      <c r="F9" s="22">
        <v>9.8800001144409197</v>
      </c>
      <c r="G9" s="22">
        <v>50</v>
      </c>
      <c r="H9" s="22">
        <v>31</v>
      </c>
      <c r="I9" s="22">
        <v>264</v>
      </c>
      <c r="J9" s="23">
        <v>2035</v>
      </c>
      <c r="L9" s="32"/>
      <c r="M9" s="33"/>
      <c r="N9" s="33"/>
      <c r="O9" s="33"/>
      <c r="P9" s="34"/>
    </row>
    <row r="10" spans="1:16" x14ac:dyDescent="0.3">
      <c r="A10" s="20">
        <v>1503960366</v>
      </c>
      <c r="B10" s="21">
        <v>42480</v>
      </c>
      <c r="C10" s="22" t="s">
        <v>11</v>
      </c>
      <c r="D10" s="22">
        <v>3</v>
      </c>
      <c r="E10" s="22">
        <v>10544</v>
      </c>
      <c r="F10" s="22">
        <v>6.6799998283386204</v>
      </c>
      <c r="G10" s="22">
        <v>28</v>
      </c>
      <c r="H10" s="22">
        <v>12</v>
      </c>
      <c r="I10" s="22">
        <v>205</v>
      </c>
      <c r="J10" s="23">
        <v>1786</v>
      </c>
      <c r="L10" s="32"/>
      <c r="M10" s="33"/>
      <c r="N10" s="33"/>
      <c r="O10" s="33"/>
      <c r="P10" s="34"/>
    </row>
    <row r="11" spans="1:16" x14ac:dyDescent="0.3">
      <c r="A11" s="20">
        <v>1503960366</v>
      </c>
      <c r="B11" s="21">
        <v>42481</v>
      </c>
      <c r="C11" s="22" t="s">
        <v>12</v>
      </c>
      <c r="D11" s="22">
        <v>4</v>
      </c>
      <c r="E11" s="22">
        <v>9819</v>
      </c>
      <c r="F11" s="22">
        <v>6.3400001525878897</v>
      </c>
      <c r="G11" s="22">
        <v>19</v>
      </c>
      <c r="H11" s="22">
        <v>8</v>
      </c>
      <c r="I11" s="22">
        <v>211</v>
      </c>
      <c r="J11" s="23">
        <v>1775</v>
      </c>
      <c r="L11" s="32"/>
      <c r="M11" s="33"/>
      <c r="N11" s="33"/>
      <c r="O11" s="33"/>
      <c r="P11" s="34"/>
    </row>
    <row r="12" spans="1:16" x14ac:dyDescent="0.3">
      <c r="A12" s="20">
        <v>1503960366</v>
      </c>
      <c r="B12" s="21">
        <v>42482</v>
      </c>
      <c r="C12" s="22" t="s">
        <v>13</v>
      </c>
      <c r="D12" s="22">
        <v>5</v>
      </c>
      <c r="E12" s="22">
        <v>12764</v>
      </c>
      <c r="F12" s="22">
        <v>8.1300001144409197</v>
      </c>
      <c r="G12" s="22">
        <v>66</v>
      </c>
      <c r="H12" s="22">
        <v>27</v>
      </c>
      <c r="I12" s="22">
        <v>130</v>
      </c>
      <c r="J12" s="23">
        <v>1827</v>
      </c>
      <c r="L12" s="32"/>
      <c r="M12" s="33"/>
      <c r="N12" s="33"/>
      <c r="O12" s="33"/>
      <c r="P12" s="34"/>
    </row>
    <row r="13" spans="1:16" x14ac:dyDescent="0.3">
      <c r="A13" s="20">
        <v>1503960366</v>
      </c>
      <c r="B13" s="21">
        <v>42483</v>
      </c>
      <c r="C13" s="22" t="s">
        <v>14</v>
      </c>
      <c r="D13" s="22">
        <v>6</v>
      </c>
      <c r="E13" s="22">
        <v>14371</v>
      </c>
      <c r="F13" s="22">
        <v>9.0399999618530291</v>
      </c>
      <c r="G13" s="22">
        <v>41</v>
      </c>
      <c r="H13" s="22">
        <v>21</v>
      </c>
      <c r="I13" s="22">
        <v>262</v>
      </c>
      <c r="J13" s="23">
        <v>1949</v>
      </c>
      <c r="L13" s="35"/>
      <c r="M13" s="36"/>
      <c r="N13" s="36"/>
      <c r="O13" s="36"/>
      <c r="P13" s="37"/>
    </row>
    <row r="14" spans="1:16" x14ac:dyDescent="0.3">
      <c r="A14" s="20">
        <v>1503960366</v>
      </c>
      <c r="B14" s="21">
        <v>42484</v>
      </c>
      <c r="C14" s="22" t="s">
        <v>15</v>
      </c>
      <c r="D14" s="22">
        <v>0</v>
      </c>
      <c r="E14" s="22">
        <v>10039</v>
      </c>
      <c r="F14" s="22">
        <v>6.4099998474121103</v>
      </c>
      <c r="G14" s="22">
        <v>39</v>
      </c>
      <c r="H14" s="22">
        <v>5</v>
      </c>
      <c r="I14" s="22">
        <v>238</v>
      </c>
      <c r="J14" s="23">
        <v>1788</v>
      </c>
      <c r="L14" s="1"/>
      <c r="M14" s="1"/>
      <c r="N14" s="1"/>
      <c r="O14" s="1"/>
      <c r="P14" s="1"/>
    </row>
    <row r="15" spans="1:16" x14ac:dyDescent="0.3">
      <c r="A15" s="20">
        <v>1503960366</v>
      </c>
      <c r="B15" s="21">
        <v>42485</v>
      </c>
      <c r="C15" s="22" t="s">
        <v>16</v>
      </c>
      <c r="D15" s="22">
        <v>1</v>
      </c>
      <c r="E15" s="22">
        <v>15355</v>
      </c>
      <c r="F15" s="22">
        <v>9.8000001907348597</v>
      </c>
      <c r="G15" s="22">
        <v>73</v>
      </c>
      <c r="H15" s="22">
        <v>14</v>
      </c>
      <c r="I15" s="22">
        <v>216</v>
      </c>
      <c r="J15" s="23">
        <v>2013</v>
      </c>
      <c r="L15" s="1"/>
      <c r="M15" s="1"/>
      <c r="N15" s="1"/>
      <c r="O15" s="1"/>
      <c r="P15" s="1"/>
    </row>
    <row r="16" spans="1:16" x14ac:dyDescent="0.3">
      <c r="A16" s="20">
        <v>1503960366</v>
      </c>
      <c r="B16" s="21">
        <v>42486</v>
      </c>
      <c r="C16" s="22" t="s">
        <v>10</v>
      </c>
      <c r="D16" s="22">
        <v>2</v>
      </c>
      <c r="E16" s="22">
        <v>13755</v>
      </c>
      <c r="F16" s="22">
        <v>8.7899999618530291</v>
      </c>
      <c r="G16" s="22">
        <v>31</v>
      </c>
      <c r="H16" s="22">
        <v>23</v>
      </c>
      <c r="I16" s="22">
        <v>279</v>
      </c>
      <c r="J16" s="23">
        <v>1970</v>
      </c>
      <c r="L16" s="1"/>
      <c r="M16" s="1"/>
      <c r="N16" s="1"/>
      <c r="O16" s="1"/>
      <c r="P16" s="1"/>
    </row>
    <row r="17" spans="1:16" x14ac:dyDescent="0.3">
      <c r="A17" s="20">
        <v>1503960366</v>
      </c>
      <c r="B17" s="21">
        <v>42487</v>
      </c>
      <c r="C17" s="22" t="s">
        <v>11</v>
      </c>
      <c r="D17" s="22">
        <v>3</v>
      </c>
      <c r="E17" s="22">
        <v>18134</v>
      </c>
      <c r="F17" s="22">
        <v>12.210000038146999</v>
      </c>
      <c r="G17" s="22">
        <v>78</v>
      </c>
      <c r="H17" s="22">
        <v>11</v>
      </c>
      <c r="I17" s="22">
        <v>243</v>
      </c>
      <c r="J17" s="23">
        <v>2159</v>
      </c>
      <c r="L17" s="1"/>
      <c r="M17" s="1"/>
      <c r="N17" s="1"/>
      <c r="O17" s="1"/>
      <c r="P17" s="1"/>
    </row>
    <row r="18" spans="1:16" x14ac:dyDescent="0.3">
      <c r="A18" s="20">
        <v>1503960366</v>
      </c>
      <c r="B18" s="21">
        <v>42488</v>
      </c>
      <c r="C18" s="22" t="s">
        <v>12</v>
      </c>
      <c r="D18" s="22">
        <v>4</v>
      </c>
      <c r="E18" s="22">
        <v>13154</v>
      </c>
      <c r="F18" s="22">
        <v>8.5299997329711896</v>
      </c>
      <c r="G18" s="22">
        <v>48</v>
      </c>
      <c r="H18" s="22">
        <v>28</v>
      </c>
      <c r="I18" s="22">
        <v>189</v>
      </c>
      <c r="J18" s="23">
        <v>1898</v>
      </c>
      <c r="L18" s="1"/>
      <c r="M18" s="1"/>
      <c r="N18" s="1"/>
      <c r="O18" s="1"/>
      <c r="P18" s="1"/>
    </row>
    <row r="19" spans="1:16" x14ac:dyDescent="0.3">
      <c r="A19" s="20">
        <v>1503960366</v>
      </c>
      <c r="B19" s="21">
        <v>42489</v>
      </c>
      <c r="C19" s="22" t="s">
        <v>13</v>
      </c>
      <c r="D19" s="22">
        <v>5</v>
      </c>
      <c r="E19" s="22">
        <v>11181</v>
      </c>
      <c r="F19" s="22">
        <v>7.1500000953674299</v>
      </c>
      <c r="G19" s="22">
        <v>16</v>
      </c>
      <c r="H19" s="22">
        <v>12</v>
      </c>
      <c r="I19" s="22">
        <v>243</v>
      </c>
      <c r="J19" s="23">
        <v>1837</v>
      </c>
      <c r="L19" s="1"/>
      <c r="M19" s="1"/>
      <c r="N19" s="1"/>
      <c r="O19" s="1"/>
      <c r="P19" s="1"/>
    </row>
    <row r="20" spans="1:16" x14ac:dyDescent="0.3">
      <c r="A20" s="20">
        <v>1503960366</v>
      </c>
      <c r="B20" s="21">
        <v>42490</v>
      </c>
      <c r="C20" s="22" t="s">
        <v>14</v>
      </c>
      <c r="D20" s="22">
        <v>6</v>
      </c>
      <c r="E20" s="22">
        <v>14673</v>
      </c>
      <c r="F20" s="22">
        <v>9.25</v>
      </c>
      <c r="G20" s="22">
        <v>52</v>
      </c>
      <c r="H20" s="22">
        <v>34</v>
      </c>
      <c r="I20" s="22">
        <v>217</v>
      </c>
      <c r="J20" s="23">
        <v>1947</v>
      </c>
      <c r="L20" s="1"/>
      <c r="M20" s="1"/>
      <c r="N20" s="1"/>
      <c r="O20" s="1"/>
      <c r="P20" s="1"/>
    </row>
    <row r="21" spans="1:16" x14ac:dyDescent="0.3">
      <c r="A21" s="20">
        <v>1503960366</v>
      </c>
      <c r="B21" s="21">
        <v>42491</v>
      </c>
      <c r="C21" s="22" t="s">
        <v>15</v>
      </c>
      <c r="D21" s="22">
        <v>0</v>
      </c>
      <c r="E21" s="22">
        <v>10602</v>
      </c>
      <c r="F21" s="22">
        <v>6.8099999427795401</v>
      </c>
      <c r="G21" s="22">
        <v>33</v>
      </c>
      <c r="H21" s="22">
        <v>35</v>
      </c>
      <c r="I21" s="22">
        <v>246</v>
      </c>
      <c r="J21" s="23">
        <v>1820</v>
      </c>
      <c r="L21" s="1"/>
      <c r="M21" s="1"/>
      <c r="N21" s="1"/>
      <c r="O21" s="1"/>
      <c r="P21" s="1"/>
    </row>
    <row r="22" spans="1:16" x14ac:dyDescent="0.3">
      <c r="A22" s="20">
        <v>1503960366</v>
      </c>
      <c r="B22" s="21">
        <v>42492</v>
      </c>
      <c r="C22" s="22" t="s">
        <v>16</v>
      </c>
      <c r="D22" s="22">
        <v>1</v>
      </c>
      <c r="E22" s="22">
        <v>14727</v>
      </c>
      <c r="F22" s="22">
        <v>9.7100000381469709</v>
      </c>
      <c r="G22" s="22">
        <v>41</v>
      </c>
      <c r="H22" s="22">
        <v>15</v>
      </c>
      <c r="I22" s="22">
        <v>277</v>
      </c>
      <c r="J22" s="23">
        <v>2004</v>
      </c>
      <c r="L22" s="1"/>
      <c r="M22" s="1"/>
      <c r="N22" s="1"/>
      <c r="O22" s="1"/>
      <c r="P22" s="1"/>
    </row>
    <row r="23" spans="1:16" x14ac:dyDescent="0.3">
      <c r="A23" s="20">
        <v>1503960366</v>
      </c>
      <c r="B23" s="21">
        <v>42493</v>
      </c>
      <c r="C23" s="22" t="s">
        <v>10</v>
      </c>
      <c r="D23" s="22">
        <v>2</v>
      </c>
      <c r="E23" s="22">
        <v>15103</v>
      </c>
      <c r="F23" s="22">
        <v>9.6599998474121094</v>
      </c>
      <c r="G23" s="22">
        <v>50</v>
      </c>
      <c r="H23" s="22">
        <v>24</v>
      </c>
      <c r="I23" s="22">
        <v>254</v>
      </c>
      <c r="J23" s="23">
        <v>1990</v>
      </c>
      <c r="L23" s="1"/>
      <c r="M23" s="1"/>
      <c r="N23" s="1"/>
      <c r="O23" s="1"/>
      <c r="P23" s="1"/>
    </row>
    <row r="24" spans="1:16" x14ac:dyDescent="0.3">
      <c r="A24" s="20">
        <v>1503960366</v>
      </c>
      <c r="B24" s="21">
        <v>42494</v>
      </c>
      <c r="C24" s="22" t="s">
        <v>11</v>
      </c>
      <c r="D24" s="22">
        <v>3</v>
      </c>
      <c r="E24" s="22">
        <v>11100</v>
      </c>
      <c r="F24" s="22">
        <v>7.1500000953674299</v>
      </c>
      <c r="G24" s="22">
        <v>36</v>
      </c>
      <c r="H24" s="22">
        <v>22</v>
      </c>
      <c r="I24" s="22">
        <v>203</v>
      </c>
      <c r="J24" s="23">
        <v>1819</v>
      </c>
      <c r="L24" s="1"/>
      <c r="M24" s="1"/>
      <c r="N24" s="1"/>
      <c r="O24" s="1"/>
      <c r="P24" s="1"/>
    </row>
    <row r="25" spans="1:16" x14ac:dyDescent="0.3">
      <c r="A25" s="20">
        <v>1503960366</v>
      </c>
      <c r="B25" s="21">
        <v>42495</v>
      </c>
      <c r="C25" s="22" t="s">
        <v>12</v>
      </c>
      <c r="D25" s="22">
        <v>4</v>
      </c>
      <c r="E25" s="22">
        <v>14070</v>
      </c>
      <c r="F25" s="22">
        <v>8.8999996185302699</v>
      </c>
      <c r="G25" s="22">
        <v>45</v>
      </c>
      <c r="H25" s="22">
        <v>24</v>
      </c>
      <c r="I25" s="22">
        <v>250</v>
      </c>
      <c r="J25" s="23">
        <v>1959</v>
      </c>
      <c r="L25" s="1"/>
      <c r="M25" s="1"/>
      <c r="N25" s="1"/>
      <c r="O25" s="1"/>
      <c r="P25" s="1"/>
    </row>
    <row r="26" spans="1:16" x14ac:dyDescent="0.3">
      <c r="A26" s="20">
        <v>1503960366</v>
      </c>
      <c r="B26" s="21">
        <v>42496</v>
      </c>
      <c r="C26" s="22" t="s">
        <v>13</v>
      </c>
      <c r="D26" s="22">
        <v>5</v>
      </c>
      <c r="E26" s="22">
        <v>12159</v>
      </c>
      <c r="F26" s="22">
        <v>8.0299997329711896</v>
      </c>
      <c r="G26" s="22">
        <v>24</v>
      </c>
      <c r="H26" s="22">
        <v>6</v>
      </c>
      <c r="I26" s="22">
        <v>289</v>
      </c>
      <c r="J26" s="23">
        <v>1896</v>
      </c>
      <c r="L26" s="1"/>
      <c r="M26" s="1"/>
      <c r="N26" s="1"/>
      <c r="O26" s="1"/>
      <c r="P26" s="1"/>
    </row>
    <row r="27" spans="1:16" x14ac:dyDescent="0.3">
      <c r="A27" s="20">
        <v>1503960366</v>
      </c>
      <c r="B27" s="21">
        <v>42497</v>
      </c>
      <c r="C27" s="22" t="s">
        <v>14</v>
      </c>
      <c r="D27" s="22">
        <v>6</v>
      </c>
      <c r="E27" s="22">
        <v>11992</v>
      </c>
      <c r="F27" s="22">
        <v>7.71000003814697</v>
      </c>
      <c r="G27" s="22">
        <v>37</v>
      </c>
      <c r="H27" s="22">
        <v>46</v>
      </c>
      <c r="I27" s="22">
        <v>175</v>
      </c>
      <c r="J27" s="23">
        <v>1821</v>
      </c>
    </row>
    <row r="28" spans="1:16" x14ac:dyDescent="0.3">
      <c r="A28" s="20">
        <v>1503960366</v>
      </c>
      <c r="B28" s="21">
        <v>42498</v>
      </c>
      <c r="C28" s="22" t="s">
        <v>15</v>
      </c>
      <c r="D28" s="22">
        <v>0</v>
      </c>
      <c r="E28" s="22">
        <v>10060</v>
      </c>
      <c r="F28" s="22">
        <v>6.5799999237060502</v>
      </c>
      <c r="G28" s="22">
        <v>44</v>
      </c>
      <c r="H28" s="22">
        <v>8</v>
      </c>
      <c r="I28" s="22">
        <v>203</v>
      </c>
      <c r="J28" s="23">
        <v>1740</v>
      </c>
    </row>
    <row r="29" spans="1:16" x14ac:dyDescent="0.3">
      <c r="A29" s="20">
        <v>1503960366</v>
      </c>
      <c r="B29" s="21">
        <v>42499</v>
      </c>
      <c r="C29" s="22" t="s">
        <v>16</v>
      </c>
      <c r="D29" s="22">
        <v>1</v>
      </c>
      <c r="E29" s="22">
        <v>12022</v>
      </c>
      <c r="F29" s="22">
        <v>7.7199997901916504</v>
      </c>
      <c r="G29" s="22">
        <v>46</v>
      </c>
      <c r="H29" s="22">
        <v>11</v>
      </c>
      <c r="I29" s="22">
        <v>206</v>
      </c>
      <c r="J29" s="23">
        <v>1819</v>
      </c>
    </row>
    <row r="30" spans="1:16" x14ac:dyDescent="0.3">
      <c r="A30" s="20">
        <v>1503960366</v>
      </c>
      <c r="B30" s="21">
        <v>42500</v>
      </c>
      <c r="C30" s="22" t="s">
        <v>10</v>
      </c>
      <c r="D30" s="22">
        <v>2</v>
      </c>
      <c r="E30" s="22">
        <v>12207</v>
      </c>
      <c r="F30" s="22">
        <v>7.7699999809265101</v>
      </c>
      <c r="G30" s="22">
        <v>46</v>
      </c>
      <c r="H30" s="22">
        <v>31</v>
      </c>
      <c r="I30" s="22">
        <v>214</v>
      </c>
      <c r="J30" s="23">
        <v>1859</v>
      </c>
    </row>
    <row r="31" spans="1:16" x14ac:dyDescent="0.3">
      <c r="A31" s="20">
        <v>1503960366</v>
      </c>
      <c r="B31" s="21">
        <v>42501</v>
      </c>
      <c r="C31" s="22" t="s">
        <v>11</v>
      </c>
      <c r="D31" s="22">
        <v>3</v>
      </c>
      <c r="E31" s="22">
        <v>12770</v>
      </c>
      <c r="F31" s="22">
        <v>8.1300001144409197</v>
      </c>
      <c r="G31" s="22">
        <v>36</v>
      </c>
      <c r="H31" s="22">
        <v>23</v>
      </c>
      <c r="I31" s="22">
        <v>251</v>
      </c>
      <c r="J31" s="23">
        <v>1783</v>
      </c>
    </row>
    <row r="32" spans="1:16" x14ac:dyDescent="0.3">
      <c r="A32" s="20">
        <v>1503960366</v>
      </c>
      <c r="B32" s="21">
        <v>42502</v>
      </c>
      <c r="C32" s="22" t="s">
        <v>12</v>
      </c>
      <c r="D32" s="22">
        <v>4</v>
      </c>
      <c r="E32" s="22">
        <v>0</v>
      </c>
      <c r="F32" s="22">
        <v>0</v>
      </c>
      <c r="G32" s="22">
        <v>0</v>
      </c>
      <c r="H32" s="22">
        <v>0</v>
      </c>
      <c r="I32" s="22">
        <v>0</v>
      </c>
      <c r="J32" s="23">
        <v>0</v>
      </c>
    </row>
    <row r="33" spans="1:10" x14ac:dyDescent="0.3">
      <c r="A33" s="20">
        <v>1624580081</v>
      </c>
      <c r="B33" s="21">
        <v>42472</v>
      </c>
      <c r="C33" s="22" t="s">
        <v>10</v>
      </c>
      <c r="D33" s="22">
        <v>2</v>
      </c>
      <c r="E33" s="22">
        <v>8163</v>
      </c>
      <c r="F33" s="22">
        <v>5.3099999427795401</v>
      </c>
      <c r="G33" s="22">
        <v>0</v>
      </c>
      <c r="H33" s="22">
        <v>0</v>
      </c>
      <c r="I33" s="22">
        <v>146</v>
      </c>
      <c r="J33" s="23">
        <v>1432</v>
      </c>
    </row>
    <row r="34" spans="1:10" x14ac:dyDescent="0.3">
      <c r="A34" s="20">
        <v>1624580081</v>
      </c>
      <c r="B34" s="21">
        <v>42473</v>
      </c>
      <c r="C34" s="22" t="s">
        <v>11</v>
      </c>
      <c r="D34" s="22">
        <v>3</v>
      </c>
      <c r="E34" s="22">
        <v>7007</v>
      </c>
      <c r="F34" s="22">
        <v>4.5500001907348597</v>
      </c>
      <c r="G34" s="22">
        <v>0</v>
      </c>
      <c r="H34" s="22">
        <v>0</v>
      </c>
      <c r="I34" s="22">
        <v>148</v>
      </c>
      <c r="J34" s="23">
        <v>1411</v>
      </c>
    </row>
    <row r="35" spans="1:10" x14ac:dyDescent="0.3">
      <c r="A35" s="20">
        <v>1624580081</v>
      </c>
      <c r="B35" s="21">
        <v>42474</v>
      </c>
      <c r="C35" s="22" t="s">
        <v>12</v>
      </c>
      <c r="D35" s="22">
        <v>4</v>
      </c>
      <c r="E35" s="22">
        <v>9107</v>
      </c>
      <c r="F35" s="22">
        <v>5.9200000762939498</v>
      </c>
      <c r="G35" s="22">
        <v>0</v>
      </c>
      <c r="H35" s="22">
        <v>0</v>
      </c>
      <c r="I35" s="22">
        <v>236</v>
      </c>
      <c r="J35" s="23">
        <v>1572</v>
      </c>
    </row>
    <row r="36" spans="1:10" x14ac:dyDescent="0.3">
      <c r="A36" s="20">
        <v>1624580081</v>
      </c>
      <c r="B36" s="21">
        <v>42475</v>
      </c>
      <c r="C36" s="22" t="s">
        <v>13</v>
      </c>
      <c r="D36" s="22">
        <v>5</v>
      </c>
      <c r="E36" s="22">
        <v>1510</v>
      </c>
      <c r="F36" s="22">
        <v>0.980000019073486</v>
      </c>
      <c r="G36" s="22">
        <v>0</v>
      </c>
      <c r="H36" s="22">
        <v>0</v>
      </c>
      <c r="I36" s="22">
        <v>96</v>
      </c>
      <c r="J36" s="23">
        <v>1344</v>
      </c>
    </row>
    <row r="37" spans="1:10" x14ac:dyDescent="0.3">
      <c r="A37" s="20">
        <v>1624580081</v>
      </c>
      <c r="B37" s="21">
        <v>42476</v>
      </c>
      <c r="C37" s="22" t="s">
        <v>14</v>
      </c>
      <c r="D37" s="22">
        <v>6</v>
      </c>
      <c r="E37" s="22">
        <v>5370</v>
      </c>
      <c r="F37" s="22">
        <v>3.4900000095367401</v>
      </c>
      <c r="G37" s="22">
        <v>0</v>
      </c>
      <c r="H37" s="22">
        <v>0</v>
      </c>
      <c r="I37" s="22">
        <v>176</v>
      </c>
      <c r="J37" s="23">
        <v>1463</v>
      </c>
    </row>
    <row r="38" spans="1:10" x14ac:dyDescent="0.3">
      <c r="A38" s="20">
        <v>1624580081</v>
      </c>
      <c r="B38" s="21">
        <v>42477</v>
      </c>
      <c r="C38" s="22" t="s">
        <v>15</v>
      </c>
      <c r="D38" s="22">
        <v>0</v>
      </c>
      <c r="E38" s="22">
        <v>6175</v>
      </c>
      <c r="F38" s="22">
        <v>4.0599999427795401</v>
      </c>
      <c r="G38" s="22">
        <v>15</v>
      </c>
      <c r="H38" s="22">
        <v>22</v>
      </c>
      <c r="I38" s="22">
        <v>127</v>
      </c>
      <c r="J38" s="23">
        <v>1554</v>
      </c>
    </row>
    <row r="39" spans="1:10" x14ac:dyDescent="0.3">
      <c r="A39" s="20">
        <v>1624580081</v>
      </c>
      <c r="B39" s="21">
        <v>42478</v>
      </c>
      <c r="C39" s="22" t="s">
        <v>16</v>
      </c>
      <c r="D39" s="22">
        <v>1</v>
      </c>
      <c r="E39" s="22">
        <v>10536</v>
      </c>
      <c r="F39" s="22">
        <v>7.4099998474121103</v>
      </c>
      <c r="G39" s="22">
        <v>17</v>
      </c>
      <c r="H39" s="22">
        <v>7</v>
      </c>
      <c r="I39" s="22">
        <v>202</v>
      </c>
      <c r="J39" s="23">
        <v>1604</v>
      </c>
    </row>
    <row r="40" spans="1:10" x14ac:dyDescent="0.3">
      <c r="A40" s="20">
        <v>1624580081</v>
      </c>
      <c r="B40" s="21">
        <v>42479</v>
      </c>
      <c r="C40" s="22" t="s">
        <v>10</v>
      </c>
      <c r="D40" s="22">
        <v>2</v>
      </c>
      <c r="E40" s="22">
        <v>2916</v>
      </c>
      <c r="F40" s="22">
        <v>1.8999999761581401</v>
      </c>
      <c r="G40" s="22">
        <v>0</v>
      </c>
      <c r="H40" s="22">
        <v>0</v>
      </c>
      <c r="I40" s="22">
        <v>141</v>
      </c>
      <c r="J40" s="23">
        <v>1435</v>
      </c>
    </row>
    <row r="41" spans="1:10" x14ac:dyDescent="0.3">
      <c r="A41" s="20">
        <v>1624580081</v>
      </c>
      <c r="B41" s="21">
        <v>42480</v>
      </c>
      <c r="C41" s="22" t="s">
        <v>11</v>
      </c>
      <c r="D41" s="22">
        <v>3</v>
      </c>
      <c r="E41" s="22">
        <v>4974</v>
      </c>
      <c r="F41" s="22">
        <v>3.2300000190734899</v>
      </c>
      <c r="G41" s="22">
        <v>0</v>
      </c>
      <c r="H41" s="22">
        <v>0</v>
      </c>
      <c r="I41" s="22">
        <v>151</v>
      </c>
      <c r="J41" s="23">
        <v>1446</v>
      </c>
    </row>
    <row r="42" spans="1:10" x14ac:dyDescent="0.3">
      <c r="A42" s="20">
        <v>1624580081</v>
      </c>
      <c r="B42" s="21">
        <v>42481</v>
      </c>
      <c r="C42" s="22" t="s">
        <v>12</v>
      </c>
      <c r="D42" s="22">
        <v>4</v>
      </c>
      <c r="E42" s="22">
        <v>6349</v>
      </c>
      <c r="F42" s="22">
        <v>4.1300001144409197</v>
      </c>
      <c r="G42" s="22">
        <v>0</v>
      </c>
      <c r="H42" s="22">
        <v>0</v>
      </c>
      <c r="I42" s="22">
        <v>186</v>
      </c>
      <c r="J42" s="23">
        <v>1467</v>
      </c>
    </row>
    <row r="43" spans="1:10" x14ac:dyDescent="0.3">
      <c r="A43" s="20">
        <v>1624580081</v>
      </c>
      <c r="B43" s="21">
        <v>42482</v>
      </c>
      <c r="C43" s="22" t="s">
        <v>13</v>
      </c>
      <c r="D43" s="22">
        <v>5</v>
      </c>
      <c r="E43" s="22">
        <v>4026</v>
      </c>
      <c r="F43" s="22">
        <v>2.6199998855590798</v>
      </c>
      <c r="G43" s="22">
        <v>0</v>
      </c>
      <c r="H43" s="22">
        <v>0</v>
      </c>
      <c r="I43" s="22">
        <v>199</v>
      </c>
      <c r="J43" s="23">
        <v>1470</v>
      </c>
    </row>
    <row r="44" spans="1:10" x14ac:dyDescent="0.3">
      <c r="A44" s="20">
        <v>1624580081</v>
      </c>
      <c r="B44" s="21">
        <v>42483</v>
      </c>
      <c r="C44" s="22" t="s">
        <v>14</v>
      </c>
      <c r="D44" s="22">
        <v>6</v>
      </c>
      <c r="E44" s="22">
        <v>8538</v>
      </c>
      <c r="F44" s="22">
        <v>5.5500001907348597</v>
      </c>
      <c r="G44" s="22">
        <v>0</v>
      </c>
      <c r="H44" s="22">
        <v>0</v>
      </c>
      <c r="I44" s="22">
        <v>227</v>
      </c>
      <c r="J44" s="23">
        <v>1562</v>
      </c>
    </row>
    <row r="45" spans="1:10" x14ac:dyDescent="0.3">
      <c r="A45" s="20">
        <v>1624580081</v>
      </c>
      <c r="B45" s="21">
        <v>42484</v>
      </c>
      <c r="C45" s="22" t="s">
        <v>15</v>
      </c>
      <c r="D45" s="22">
        <v>0</v>
      </c>
      <c r="E45" s="22">
        <v>6076</v>
      </c>
      <c r="F45" s="22">
        <v>3.9500000476837198</v>
      </c>
      <c r="G45" s="22">
        <v>16</v>
      </c>
      <c r="H45" s="22">
        <v>18</v>
      </c>
      <c r="I45" s="22">
        <v>185</v>
      </c>
      <c r="J45" s="23">
        <v>1617</v>
      </c>
    </row>
    <row r="46" spans="1:10" x14ac:dyDescent="0.3">
      <c r="A46" s="20">
        <v>1624580081</v>
      </c>
      <c r="B46" s="21">
        <v>42485</v>
      </c>
      <c r="C46" s="22" t="s">
        <v>16</v>
      </c>
      <c r="D46" s="22">
        <v>1</v>
      </c>
      <c r="E46" s="22">
        <v>6497</v>
      </c>
      <c r="F46" s="22">
        <v>4.2199997901916504</v>
      </c>
      <c r="G46" s="22">
        <v>0</v>
      </c>
      <c r="H46" s="22">
        <v>0</v>
      </c>
      <c r="I46" s="22">
        <v>202</v>
      </c>
      <c r="J46" s="23">
        <v>1492</v>
      </c>
    </row>
    <row r="47" spans="1:10" x14ac:dyDescent="0.3">
      <c r="A47" s="20">
        <v>1624580081</v>
      </c>
      <c r="B47" s="21">
        <v>42486</v>
      </c>
      <c r="C47" s="22" t="s">
        <v>10</v>
      </c>
      <c r="D47" s="22">
        <v>2</v>
      </c>
      <c r="E47" s="22">
        <v>2826</v>
      </c>
      <c r="F47" s="22">
        <v>1.8400000333786</v>
      </c>
      <c r="G47" s="22">
        <v>0</v>
      </c>
      <c r="H47" s="22">
        <v>0</v>
      </c>
      <c r="I47" s="22">
        <v>140</v>
      </c>
      <c r="J47" s="23">
        <v>1402</v>
      </c>
    </row>
    <row r="48" spans="1:10" x14ac:dyDescent="0.3">
      <c r="A48" s="20">
        <v>1624580081</v>
      </c>
      <c r="B48" s="21">
        <v>42487</v>
      </c>
      <c r="C48" s="22" t="s">
        <v>11</v>
      </c>
      <c r="D48" s="22">
        <v>3</v>
      </c>
      <c r="E48" s="22">
        <v>8367</v>
      </c>
      <c r="F48" s="22">
        <v>5.4400000572204599</v>
      </c>
      <c r="G48" s="22">
        <v>17</v>
      </c>
      <c r="H48" s="22">
        <v>36</v>
      </c>
      <c r="I48" s="22">
        <v>154</v>
      </c>
      <c r="J48" s="23">
        <v>1670</v>
      </c>
    </row>
    <row r="49" spans="1:10" x14ac:dyDescent="0.3">
      <c r="A49" s="20">
        <v>1624580081</v>
      </c>
      <c r="B49" s="21">
        <v>42488</v>
      </c>
      <c r="C49" s="22" t="s">
        <v>12</v>
      </c>
      <c r="D49" s="22">
        <v>4</v>
      </c>
      <c r="E49" s="22">
        <v>2759</v>
      </c>
      <c r="F49" s="22">
        <v>1.78999996185303</v>
      </c>
      <c r="G49" s="22">
        <v>0</v>
      </c>
      <c r="H49" s="22">
        <v>5</v>
      </c>
      <c r="I49" s="22">
        <v>115</v>
      </c>
      <c r="J49" s="23">
        <v>1401</v>
      </c>
    </row>
    <row r="50" spans="1:10" x14ac:dyDescent="0.3">
      <c r="A50" s="20">
        <v>1624580081</v>
      </c>
      <c r="B50" s="21">
        <v>42489</v>
      </c>
      <c r="C50" s="22" t="s">
        <v>13</v>
      </c>
      <c r="D50" s="22">
        <v>5</v>
      </c>
      <c r="E50" s="22">
        <v>2390</v>
      </c>
      <c r="F50" s="22">
        <v>1.54999995231628</v>
      </c>
      <c r="G50" s="22">
        <v>0</v>
      </c>
      <c r="H50" s="22">
        <v>0</v>
      </c>
      <c r="I50" s="22">
        <v>150</v>
      </c>
      <c r="J50" s="23">
        <v>1404</v>
      </c>
    </row>
    <row r="51" spans="1:10" x14ac:dyDescent="0.3">
      <c r="A51" s="20">
        <v>1624580081</v>
      </c>
      <c r="B51" s="21">
        <v>42490</v>
      </c>
      <c r="C51" s="22" t="s">
        <v>14</v>
      </c>
      <c r="D51" s="22">
        <v>6</v>
      </c>
      <c r="E51" s="22">
        <v>6474</v>
      </c>
      <c r="F51" s="22">
        <v>4.3000001907348597</v>
      </c>
      <c r="G51" s="22">
        <v>11</v>
      </c>
      <c r="H51" s="22">
        <v>23</v>
      </c>
      <c r="I51" s="22">
        <v>224</v>
      </c>
      <c r="J51" s="23">
        <v>1655</v>
      </c>
    </row>
    <row r="52" spans="1:10" x14ac:dyDescent="0.3">
      <c r="A52" s="20">
        <v>1624580081</v>
      </c>
      <c r="B52" s="21">
        <v>42491</v>
      </c>
      <c r="C52" s="22" t="s">
        <v>15</v>
      </c>
      <c r="D52" s="22">
        <v>0</v>
      </c>
      <c r="E52" s="22">
        <v>36019</v>
      </c>
      <c r="F52" s="22">
        <v>28.030000686645501</v>
      </c>
      <c r="G52" s="22">
        <v>186</v>
      </c>
      <c r="H52" s="22">
        <v>63</v>
      </c>
      <c r="I52" s="22">
        <v>171</v>
      </c>
      <c r="J52" s="23">
        <v>2690</v>
      </c>
    </row>
    <row r="53" spans="1:10" x14ac:dyDescent="0.3">
      <c r="A53" s="20">
        <v>1624580081</v>
      </c>
      <c r="B53" s="21">
        <v>42492</v>
      </c>
      <c r="C53" s="22" t="s">
        <v>16</v>
      </c>
      <c r="D53" s="22">
        <v>1</v>
      </c>
      <c r="E53" s="22">
        <v>7155</v>
      </c>
      <c r="F53" s="22">
        <v>4.9299998283386204</v>
      </c>
      <c r="G53" s="22">
        <v>7</v>
      </c>
      <c r="H53" s="22">
        <v>6</v>
      </c>
      <c r="I53" s="22">
        <v>166</v>
      </c>
      <c r="J53" s="23">
        <v>1497</v>
      </c>
    </row>
    <row r="54" spans="1:10" x14ac:dyDescent="0.3">
      <c r="A54" s="20">
        <v>1624580081</v>
      </c>
      <c r="B54" s="21">
        <v>42493</v>
      </c>
      <c r="C54" s="22" t="s">
        <v>10</v>
      </c>
      <c r="D54" s="22">
        <v>2</v>
      </c>
      <c r="E54" s="22">
        <v>2100</v>
      </c>
      <c r="F54" s="22">
        <v>1.37000000476837</v>
      </c>
      <c r="G54" s="22">
        <v>0</v>
      </c>
      <c r="H54" s="22">
        <v>0</v>
      </c>
      <c r="I54" s="22">
        <v>96</v>
      </c>
      <c r="J54" s="23">
        <v>1334</v>
      </c>
    </row>
    <row r="55" spans="1:10" x14ac:dyDescent="0.3">
      <c r="A55" s="20">
        <v>1624580081</v>
      </c>
      <c r="B55" s="21">
        <v>42494</v>
      </c>
      <c r="C55" s="22" t="s">
        <v>11</v>
      </c>
      <c r="D55" s="22">
        <v>3</v>
      </c>
      <c r="E55" s="22">
        <v>2193</v>
      </c>
      <c r="F55" s="22">
        <v>1.4299999475479099</v>
      </c>
      <c r="G55" s="22">
        <v>0</v>
      </c>
      <c r="H55" s="22">
        <v>0</v>
      </c>
      <c r="I55" s="22">
        <v>118</v>
      </c>
      <c r="J55" s="23">
        <v>1368</v>
      </c>
    </row>
    <row r="56" spans="1:10" x14ac:dyDescent="0.3">
      <c r="A56" s="20">
        <v>1624580081</v>
      </c>
      <c r="B56" s="21">
        <v>42495</v>
      </c>
      <c r="C56" s="22" t="s">
        <v>12</v>
      </c>
      <c r="D56" s="22">
        <v>4</v>
      </c>
      <c r="E56" s="22">
        <v>2470</v>
      </c>
      <c r="F56" s="22">
        <v>1.6100000143051101</v>
      </c>
      <c r="G56" s="22">
        <v>0</v>
      </c>
      <c r="H56" s="22">
        <v>0</v>
      </c>
      <c r="I56" s="22">
        <v>117</v>
      </c>
      <c r="J56" s="23">
        <v>1370</v>
      </c>
    </row>
    <row r="57" spans="1:10" x14ac:dyDescent="0.3">
      <c r="A57" s="20">
        <v>1624580081</v>
      </c>
      <c r="B57" s="21">
        <v>42496</v>
      </c>
      <c r="C57" s="22" t="s">
        <v>13</v>
      </c>
      <c r="D57" s="22">
        <v>5</v>
      </c>
      <c r="E57" s="22">
        <v>1727</v>
      </c>
      <c r="F57" s="22">
        <v>1.12000000476837</v>
      </c>
      <c r="G57" s="22">
        <v>0</v>
      </c>
      <c r="H57" s="22">
        <v>0</v>
      </c>
      <c r="I57" s="22">
        <v>102</v>
      </c>
      <c r="J57" s="23">
        <v>1341</v>
      </c>
    </row>
    <row r="58" spans="1:10" x14ac:dyDescent="0.3">
      <c r="A58" s="20">
        <v>1624580081</v>
      </c>
      <c r="B58" s="21">
        <v>42497</v>
      </c>
      <c r="C58" s="22" t="s">
        <v>14</v>
      </c>
      <c r="D58" s="22">
        <v>6</v>
      </c>
      <c r="E58" s="22">
        <v>2104</v>
      </c>
      <c r="F58" s="22">
        <v>1.37000000476837</v>
      </c>
      <c r="G58" s="22">
        <v>0</v>
      </c>
      <c r="H58" s="22">
        <v>0</v>
      </c>
      <c r="I58" s="22">
        <v>182</v>
      </c>
      <c r="J58" s="23">
        <v>1474</v>
      </c>
    </row>
    <row r="59" spans="1:10" x14ac:dyDescent="0.3">
      <c r="A59" s="20">
        <v>1624580081</v>
      </c>
      <c r="B59" s="21">
        <v>42498</v>
      </c>
      <c r="C59" s="22" t="s">
        <v>15</v>
      </c>
      <c r="D59" s="22">
        <v>0</v>
      </c>
      <c r="E59" s="22">
        <v>3427</v>
      </c>
      <c r="F59" s="22">
        <v>2.2300000190734899</v>
      </c>
      <c r="G59" s="22">
        <v>0</v>
      </c>
      <c r="H59" s="22">
        <v>0</v>
      </c>
      <c r="I59" s="22">
        <v>152</v>
      </c>
      <c r="J59" s="23">
        <v>1427</v>
      </c>
    </row>
    <row r="60" spans="1:10" x14ac:dyDescent="0.3">
      <c r="A60" s="20">
        <v>1624580081</v>
      </c>
      <c r="B60" s="21">
        <v>42499</v>
      </c>
      <c r="C60" s="22" t="s">
        <v>16</v>
      </c>
      <c r="D60" s="22">
        <v>1</v>
      </c>
      <c r="E60" s="22">
        <v>1732</v>
      </c>
      <c r="F60" s="22">
        <v>1.12999999523163</v>
      </c>
      <c r="G60" s="22">
        <v>0</v>
      </c>
      <c r="H60" s="22">
        <v>0</v>
      </c>
      <c r="I60" s="22">
        <v>91</v>
      </c>
      <c r="J60" s="23">
        <v>1328</v>
      </c>
    </row>
    <row r="61" spans="1:10" x14ac:dyDescent="0.3">
      <c r="A61" s="20">
        <v>1624580081</v>
      </c>
      <c r="B61" s="21">
        <v>42500</v>
      </c>
      <c r="C61" s="22" t="s">
        <v>10</v>
      </c>
      <c r="D61" s="22">
        <v>2</v>
      </c>
      <c r="E61" s="22">
        <v>2969</v>
      </c>
      <c r="F61" s="22">
        <v>1.9299999475479099</v>
      </c>
      <c r="G61" s="22">
        <v>0</v>
      </c>
      <c r="H61" s="22">
        <v>0</v>
      </c>
      <c r="I61" s="22">
        <v>139</v>
      </c>
      <c r="J61" s="23">
        <v>1393</v>
      </c>
    </row>
    <row r="62" spans="1:10" x14ac:dyDescent="0.3">
      <c r="A62" s="20">
        <v>1624580081</v>
      </c>
      <c r="B62" s="21">
        <v>42501</v>
      </c>
      <c r="C62" s="22" t="s">
        <v>11</v>
      </c>
      <c r="D62" s="22">
        <v>3</v>
      </c>
      <c r="E62" s="22">
        <v>3134</v>
      </c>
      <c r="F62" s="22">
        <v>2.03999996185303</v>
      </c>
      <c r="G62" s="22">
        <v>0</v>
      </c>
      <c r="H62" s="22">
        <v>0</v>
      </c>
      <c r="I62" s="22">
        <v>112</v>
      </c>
      <c r="J62" s="23">
        <v>1359</v>
      </c>
    </row>
    <row r="63" spans="1:10" x14ac:dyDescent="0.3">
      <c r="A63" s="20">
        <v>1624580081</v>
      </c>
      <c r="B63" s="21">
        <v>42502</v>
      </c>
      <c r="C63" s="22" t="s">
        <v>12</v>
      </c>
      <c r="D63" s="22">
        <v>4</v>
      </c>
      <c r="E63" s="22">
        <v>2971</v>
      </c>
      <c r="F63" s="22">
        <v>1.9299999475479099</v>
      </c>
      <c r="G63" s="22">
        <v>0</v>
      </c>
      <c r="H63" s="22">
        <v>0</v>
      </c>
      <c r="I63" s="22">
        <v>107</v>
      </c>
      <c r="J63" s="23">
        <v>1002</v>
      </c>
    </row>
    <row r="64" spans="1:10" x14ac:dyDescent="0.3">
      <c r="A64" s="20">
        <v>1644430081</v>
      </c>
      <c r="B64" s="21">
        <v>42472</v>
      </c>
      <c r="C64" s="22" t="s">
        <v>10</v>
      </c>
      <c r="D64" s="22">
        <v>2</v>
      </c>
      <c r="E64" s="22">
        <v>10694</v>
      </c>
      <c r="F64" s="22">
        <v>7.7699999809265101</v>
      </c>
      <c r="G64" s="22">
        <v>2</v>
      </c>
      <c r="H64" s="22">
        <v>51</v>
      </c>
      <c r="I64" s="22">
        <v>256</v>
      </c>
      <c r="J64" s="23">
        <v>3199</v>
      </c>
    </row>
    <row r="65" spans="1:10" x14ac:dyDescent="0.3">
      <c r="A65" s="20">
        <v>1644430081</v>
      </c>
      <c r="B65" s="21">
        <v>42473</v>
      </c>
      <c r="C65" s="22" t="s">
        <v>11</v>
      </c>
      <c r="D65" s="22">
        <v>3</v>
      </c>
      <c r="E65" s="22">
        <v>8001</v>
      </c>
      <c r="F65" s="22">
        <v>5.8200001716613796</v>
      </c>
      <c r="G65" s="22">
        <v>30</v>
      </c>
      <c r="H65" s="22">
        <v>16</v>
      </c>
      <c r="I65" s="22">
        <v>135</v>
      </c>
      <c r="J65" s="23">
        <v>2902</v>
      </c>
    </row>
    <row r="66" spans="1:10" x14ac:dyDescent="0.3">
      <c r="A66" s="20">
        <v>1644430081</v>
      </c>
      <c r="B66" s="21">
        <v>42474</v>
      </c>
      <c r="C66" s="22" t="s">
        <v>12</v>
      </c>
      <c r="D66" s="22">
        <v>4</v>
      </c>
      <c r="E66" s="22">
        <v>11037</v>
      </c>
      <c r="F66" s="22">
        <v>8.0200004577636701</v>
      </c>
      <c r="G66" s="22">
        <v>5</v>
      </c>
      <c r="H66" s="22">
        <v>58</v>
      </c>
      <c r="I66" s="22">
        <v>252</v>
      </c>
      <c r="J66" s="23">
        <v>3226</v>
      </c>
    </row>
    <row r="67" spans="1:10" x14ac:dyDescent="0.3">
      <c r="A67" s="20">
        <v>1644430081</v>
      </c>
      <c r="B67" s="21">
        <v>42475</v>
      </c>
      <c r="C67" s="22" t="s">
        <v>13</v>
      </c>
      <c r="D67" s="22">
        <v>5</v>
      </c>
      <c r="E67" s="22">
        <v>5263</v>
      </c>
      <c r="F67" s="22">
        <v>3.8299999237060498</v>
      </c>
      <c r="G67" s="22">
        <v>3</v>
      </c>
      <c r="H67" s="22">
        <v>4</v>
      </c>
      <c r="I67" s="22">
        <v>170</v>
      </c>
      <c r="J67" s="23">
        <v>2750</v>
      </c>
    </row>
    <row r="68" spans="1:10" x14ac:dyDescent="0.3">
      <c r="A68" s="20">
        <v>1644430081</v>
      </c>
      <c r="B68" s="21">
        <v>42476</v>
      </c>
      <c r="C68" s="22" t="s">
        <v>14</v>
      </c>
      <c r="D68" s="22">
        <v>6</v>
      </c>
      <c r="E68" s="22">
        <v>15300</v>
      </c>
      <c r="F68" s="22">
        <v>11.1199998855591</v>
      </c>
      <c r="G68" s="22">
        <v>51</v>
      </c>
      <c r="H68" s="22">
        <v>42</v>
      </c>
      <c r="I68" s="22">
        <v>212</v>
      </c>
      <c r="J68" s="23">
        <v>3493</v>
      </c>
    </row>
    <row r="69" spans="1:10" x14ac:dyDescent="0.3">
      <c r="A69" s="20">
        <v>1644430081</v>
      </c>
      <c r="B69" s="21">
        <v>42477</v>
      </c>
      <c r="C69" s="22" t="s">
        <v>15</v>
      </c>
      <c r="D69" s="22">
        <v>0</v>
      </c>
      <c r="E69" s="22">
        <v>8757</v>
      </c>
      <c r="F69" s="22">
        <v>6.3699998855590803</v>
      </c>
      <c r="G69" s="22">
        <v>29</v>
      </c>
      <c r="H69" s="22">
        <v>13</v>
      </c>
      <c r="I69" s="22">
        <v>186</v>
      </c>
      <c r="J69" s="23">
        <v>3011</v>
      </c>
    </row>
    <row r="70" spans="1:10" x14ac:dyDescent="0.3">
      <c r="A70" s="20">
        <v>1644430081</v>
      </c>
      <c r="B70" s="21">
        <v>42478</v>
      </c>
      <c r="C70" s="22" t="s">
        <v>16</v>
      </c>
      <c r="D70" s="22">
        <v>1</v>
      </c>
      <c r="E70" s="22">
        <v>7132</v>
      </c>
      <c r="F70" s="22">
        <v>5.1900000572204599</v>
      </c>
      <c r="G70" s="22">
        <v>15</v>
      </c>
      <c r="H70" s="22">
        <v>33</v>
      </c>
      <c r="I70" s="22">
        <v>121</v>
      </c>
      <c r="J70" s="23">
        <v>2806</v>
      </c>
    </row>
    <row r="71" spans="1:10" x14ac:dyDescent="0.3">
      <c r="A71" s="20">
        <v>1644430081</v>
      </c>
      <c r="B71" s="21">
        <v>42479</v>
      </c>
      <c r="C71" s="22" t="s">
        <v>10</v>
      </c>
      <c r="D71" s="22">
        <v>2</v>
      </c>
      <c r="E71" s="22">
        <v>11256</v>
      </c>
      <c r="F71" s="22">
        <v>8.1800003051757795</v>
      </c>
      <c r="G71" s="22">
        <v>5</v>
      </c>
      <c r="H71" s="22">
        <v>58</v>
      </c>
      <c r="I71" s="22">
        <v>278</v>
      </c>
      <c r="J71" s="23">
        <v>3300</v>
      </c>
    </row>
    <row r="72" spans="1:10" x14ac:dyDescent="0.3">
      <c r="A72" s="20">
        <v>1644430081</v>
      </c>
      <c r="B72" s="21">
        <v>42480</v>
      </c>
      <c r="C72" s="22" t="s">
        <v>11</v>
      </c>
      <c r="D72" s="22">
        <v>3</v>
      </c>
      <c r="E72" s="22">
        <v>2436</v>
      </c>
      <c r="F72" s="22">
        <v>1.7699999809265099</v>
      </c>
      <c r="G72" s="22">
        <v>0</v>
      </c>
      <c r="H72" s="22">
        <v>0</v>
      </c>
      <c r="I72" s="22">
        <v>125</v>
      </c>
      <c r="J72" s="23">
        <v>2430</v>
      </c>
    </row>
    <row r="73" spans="1:10" x14ac:dyDescent="0.3">
      <c r="A73" s="20">
        <v>1644430081</v>
      </c>
      <c r="B73" s="21">
        <v>42481</v>
      </c>
      <c r="C73" s="22" t="s">
        <v>12</v>
      </c>
      <c r="D73" s="22">
        <v>4</v>
      </c>
      <c r="E73" s="22">
        <v>1223</v>
      </c>
      <c r="F73" s="22">
        <v>0.88999998569488503</v>
      </c>
      <c r="G73" s="22">
        <v>0</v>
      </c>
      <c r="H73" s="22">
        <v>0</v>
      </c>
      <c r="I73" s="22">
        <v>38</v>
      </c>
      <c r="J73" s="23">
        <v>2140</v>
      </c>
    </row>
    <row r="74" spans="1:10" x14ac:dyDescent="0.3">
      <c r="A74" s="20">
        <v>1644430081</v>
      </c>
      <c r="B74" s="21">
        <v>42482</v>
      </c>
      <c r="C74" s="22" t="s">
        <v>13</v>
      </c>
      <c r="D74" s="22">
        <v>5</v>
      </c>
      <c r="E74" s="22">
        <v>3673</v>
      </c>
      <c r="F74" s="22">
        <v>2.6700000762939502</v>
      </c>
      <c r="G74" s="22">
        <v>0</v>
      </c>
      <c r="H74" s="22">
        <v>0</v>
      </c>
      <c r="I74" s="22">
        <v>86</v>
      </c>
      <c r="J74" s="23">
        <v>2344</v>
      </c>
    </row>
    <row r="75" spans="1:10" x14ac:dyDescent="0.3">
      <c r="A75" s="20">
        <v>1644430081</v>
      </c>
      <c r="B75" s="21">
        <v>42483</v>
      </c>
      <c r="C75" s="22" t="s">
        <v>14</v>
      </c>
      <c r="D75" s="22">
        <v>6</v>
      </c>
      <c r="E75" s="22">
        <v>6637</v>
      </c>
      <c r="F75" s="22">
        <v>4.8299999237060502</v>
      </c>
      <c r="G75" s="22">
        <v>0</v>
      </c>
      <c r="H75" s="22">
        <v>15</v>
      </c>
      <c r="I75" s="22">
        <v>160</v>
      </c>
      <c r="J75" s="23">
        <v>2677</v>
      </c>
    </row>
    <row r="76" spans="1:10" x14ac:dyDescent="0.3">
      <c r="A76" s="20">
        <v>1644430081</v>
      </c>
      <c r="B76" s="21">
        <v>42484</v>
      </c>
      <c r="C76" s="22" t="s">
        <v>15</v>
      </c>
      <c r="D76" s="22">
        <v>0</v>
      </c>
      <c r="E76" s="22">
        <v>3321</v>
      </c>
      <c r="F76" s="22">
        <v>2.4100000858306898</v>
      </c>
      <c r="G76" s="22">
        <v>0</v>
      </c>
      <c r="H76" s="22">
        <v>0</v>
      </c>
      <c r="I76" s="22">
        <v>89</v>
      </c>
      <c r="J76" s="23">
        <v>2413</v>
      </c>
    </row>
    <row r="77" spans="1:10" x14ac:dyDescent="0.3">
      <c r="A77" s="20">
        <v>1644430081</v>
      </c>
      <c r="B77" s="21">
        <v>42485</v>
      </c>
      <c r="C77" s="22" t="s">
        <v>16</v>
      </c>
      <c r="D77" s="22">
        <v>1</v>
      </c>
      <c r="E77" s="22">
        <v>3580</v>
      </c>
      <c r="F77" s="22">
        <v>2.5999999046325701</v>
      </c>
      <c r="G77" s="22">
        <v>8</v>
      </c>
      <c r="H77" s="22">
        <v>1</v>
      </c>
      <c r="I77" s="22">
        <v>94</v>
      </c>
      <c r="J77" s="23">
        <v>2497</v>
      </c>
    </row>
    <row r="78" spans="1:10" x14ac:dyDescent="0.3">
      <c r="A78" s="20">
        <v>1644430081</v>
      </c>
      <c r="B78" s="21">
        <v>42486</v>
      </c>
      <c r="C78" s="22" t="s">
        <v>10</v>
      </c>
      <c r="D78" s="22">
        <v>2</v>
      </c>
      <c r="E78" s="22">
        <v>9919</v>
      </c>
      <c r="F78" s="22">
        <v>7.21000003814697</v>
      </c>
      <c r="G78" s="22">
        <v>11</v>
      </c>
      <c r="H78" s="22">
        <v>41</v>
      </c>
      <c r="I78" s="22">
        <v>223</v>
      </c>
      <c r="J78" s="23">
        <v>3123</v>
      </c>
    </row>
    <row r="79" spans="1:10" x14ac:dyDescent="0.3">
      <c r="A79" s="20">
        <v>1644430081</v>
      </c>
      <c r="B79" s="21">
        <v>42487</v>
      </c>
      <c r="C79" s="22" t="s">
        <v>11</v>
      </c>
      <c r="D79" s="22">
        <v>3</v>
      </c>
      <c r="E79" s="22">
        <v>3032</v>
      </c>
      <c r="F79" s="22">
        <v>2.2000000476837198</v>
      </c>
      <c r="G79" s="22">
        <v>0</v>
      </c>
      <c r="H79" s="22">
        <v>0</v>
      </c>
      <c r="I79" s="22">
        <v>118</v>
      </c>
      <c r="J79" s="23">
        <v>2489</v>
      </c>
    </row>
    <row r="80" spans="1:10" x14ac:dyDescent="0.3">
      <c r="A80" s="20">
        <v>1644430081</v>
      </c>
      <c r="B80" s="21">
        <v>42488</v>
      </c>
      <c r="C80" s="22" t="s">
        <v>12</v>
      </c>
      <c r="D80" s="22">
        <v>4</v>
      </c>
      <c r="E80" s="22">
        <v>9405</v>
      </c>
      <c r="F80" s="22">
        <v>6.8400001525878897</v>
      </c>
      <c r="G80" s="22">
        <v>3</v>
      </c>
      <c r="H80" s="22">
        <v>53</v>
      </c>
      <c r="I80" s="22">
        <v>227</v>
      </c>
      <c r="J80" s="23">
        <v>3108</v>
      </c>
    </row>
    <row r="81" spans="1:10" x14ac:dyDescent="0.3">
      <c r="A81" s="20">
        <v>1644430081</v>
      </c>
      <c r="B81" s="21">
        <v>42489</v>
      </c>
      <c r="C81" s="22" t="s">
        <v>13</v>
      </c>
      <c r="D81" s="22">
        <v>5</v>
      </c>
      <c r="E81" s="22">
        <v>3176</v>
      </c>
      <c r="F81" s="22">
        <v>2.3099999427795401</v>
      </c>
      <c r="G81" s="22">
        <v>0</v>
      </c>
      <c r="H81" s="22">
        <v>0</v>
      </c>
      <c r="I81" s="22">
        <v>120</v>
      </c>
      <c r="J81" s="23">
        <v>2498</v>
      </c>
    </row>
    <row r="82" spans="1:10" x14ac:dyDescent="0.3">
      <c r="A82" s="20">
        <v>1644430081</v>
      </c>
      <c r="B82" s="21">
        <v>42490</v>
      </c>
      <c r="C82" s="22" t="s">
        <v>14</v>
      </c>
      <c r="D82" s="22">
        <v>6</v>
      </c>
      <c r="E82" s="22">
        <v>18213</v>
      </c>
      <c r="F82" s="22">
        <v>13.2399997711182</v>
      </c>
      <c r="G82" s="22">
        <v>9</v>
      </c>
      <c r="H82" s="22">
        <v>71</v>
      </c>
      <c r="I82" s="22">
        <v>402</v>
      </c>
      <c r="J82" s="23">
        <v>3846</v>
      </c>
    </row>
    <row r="83" spans="1:10" x14ac:dyDescent="0.3">
      <c r="A83" s="20">
        <v>1644430081</v>
      </c>
      <c r="B83" s="21">
        <v>42491</v>
      </c>
      <c r="C83" s="22" t="s">
        <v>15</v>
      </c>
      <c r="D83" s="22">
        <v>0</v>
      </c>
      <c r="E83" s="22">
        <v>6132</v>
      </c>
      <c r="F83" s="22">
        <v>4.46000003814697</v>
      </c>
      <c r="G83" s="22">
        <v>3</v>
      </c>
      <c r="H83" s="22">
        <v>24</v>
      </c>
      <c r="I83" s="22">
        <v>146</v>
      </c>
      <c r="J83" s="23">
        <v>2696</v>
      </c>
    </row>
    <row r="84" spans="1:10" x14ac:dyDescent="0.3">
      <c r="A84" s="20">
        <v>1644430081</v>
      </c>
      <c r="B84" s="21">
        <v>42492</v>
      </c>
      <c r="C84" s="22" t="s">
        <v>16</v>
      </c>
      <c r="D84" s="22">
        <v>1</v>
      </c>
      <c r="E84" s="22">
        <v>3758</v>
      </c>
      <c r="F84" s="22">
        <v>2.7300000190734899</v>
      </c>
      <c r="G84" s="22">
        <v>1</v>
      </c>
      <c r="H84" s="22">
        <v>7</v>
      </c>
      <c r="I84" s="22">
        <v>148</v>
      </c>
      <c r="J84" s="23">
        <v>2580</v>
      </c>
    </row>
    <row r="85" spans="1:10" x14ac:dyDescent="0.3">
      <c r="A85" s="20">
        <v>1644430081</v>
      </c>
      <c r="B85" s="21">
        <v>42493</v>
      </c>
      <c r="C85" s="22" t="s">
        <v>10</v>
      </c>
      <c r="D85" s="22">
        <v>2</v>
      </c>
      <c r="E85" s="22">
        <v>12850</v>
      </c>
      <c r="F85" s="22">
        <v>9.3400001525878906</v>
      </c>
      <c r="G85" s="22">
        <v>10</v>
      </c>
      <c r="H85" s="22">
        <v>94</v>
      </c>
      <c r="I85" s="22">
        <v>221</v>
      </c>
      <c r="J85" s="23">
        <v>3324</v>
      </c>
    </row>
    <row r="86" spans="1:10" x14ac:dyDescent="0.3">
      <c r="A86" s="20">
        <v>1644430081</v>
      </c>
      <c r="B86" s="21">
        <v>42494</v>
      </c>
      <c r="C86" s="22" t="s">
        <v>11</v>
      </c>
      <c r="D86" s="22">
        <v>3</v>
      </c>
      <c r="E86" s="22">
        <v>2309</v>
      </c>
      <c r="F86" s="22">
        <v>1.6799999475479099</v>
      </c>
      <c r="G86" s="22">
        <v>0</v>
      </c>
      <c r="H86" s="22">
        <v>0</v>
      </c>
      <c r="I86" s="22">
        <v>52</v>
      </c>
      <c r="J86" s="23">
        <v>2222</v>
      </c>
    </row>
    <row r="87" spans="1:10" x14ac:dyDescent="0.3">
      <c r="A87" s="20">
        <v>1644430081</v>
      </c>
      <c r="B87" s="21">
        <v>42495</v>
      </c>
      <c r="C87" s="22" t="s">
        <v>12</v>
      </c>
      <c r="D87" s="22">
        <v>4</v>
      </c>
      <c r="E87" s="22">
        <v>4363</v>
      </c>
      <c r="F87" s="22">
        <v>3.1900000572204599</v>
      </c>
      <c r="G87" s="22">
        <v>6</v>
      </c>
      <c r="H87" s="22">
        <v>12</v>
      </c>
      <c r="I87" s="22">
        <v>81</v>
      </c>
      <c r="J87" s="23">
        <v>2463</v>
      </c>
    </row>
    <row r="88" spans="1:10" x14ac:dyDescent="0.3">
      <c r="A88" s="20">
        <v>1644430081</v>
      </c>
      <c r="B88" s="21">
        <v>42496</v>
      </c>
      <c r="C88" s="22" t="s">
        <v>13</v>
      </c>
      <c r="D88" s="22">
        <v>5</v>
      </c>
      <c r="E88" s="22">
        <v>9787</v>
      </c>
      <c r="F88" s="22">
        <v>7.1199998855590803</v>
      </c>
      <c r="G88" s="22">
        <v>11</v>
      </c>
      <c r="H88" s="22">
        <v>6</v>
      </c>
      <c r="I88" s="22">
        <v>369</v>
      </c>
      <c r="J88" s="23">
        <v>3328</v>
      </c>
    </row>
    <row r="89" spans="1:10" x14ac:dyDescent="0.3">
      <c r="A89" s="20">
        <v>1644430081</v>
      </c>
      <c r="B89" s="21">
        <v>42497</v>
      </c>
      <c r="C89" s="22" t="s">
        <v>14</v>
      </c>
      <c r="D89" s="22">
        <v>6</v>
      </c>
      <c r="E89" s="22">
        <v>13372</v>
      </c>
      <c r="F89" s="22">
        <v>9.7200002670288104</v>
      </c>
      <c r="G89" s="22">
        <v>41</v>
      </c>
      <c r="H89" s="22">
        <v>17</v>
      </c>
      <c r="I89" s="22">
        <v>243</v>
      </c>
      <c r="J89" s="23">
        <v>3404</v>
      </c>
    </row>
    <row r="90" spans="1:10" x14ac:dyDescent="0.3">
      <c r="A90" s="20">
        <v>1644430081</v>
      </c>
      <c r="B90" s="21">
        <v>42498</v>
      </c>
      <c r="C90" s="22" t="s">
        <v>15</v>
      </c>
      <c r="D90" s="22">
        <v>0</v>
      </c>
      <c r="E90" s="22">
        <v>6724</v>
      </c>
      <c r="F90" s="22">
        <v>4.8899998664856001</v>
      </c>
      <c r="G90" s="22">
        <v>0</v>
      </c>
      <c r="H90" s="22">
        <v>0</v>
      </c>
      <c r="I90" s="22">
        <v>295</v>
      </c>
      <c r="J90" s="23">
        <v>2987</v>
      </c>
    </row>
    <row r="91" spans="1:10" x14ac:dyDescent="0.3">
      <c r="A91" s="20">
        <v>1644430081</v>
      </c>
      <c r="B91" s="21">
        <v>42499</v>
      </c>
      <c r="C91" s="22" t="s">
        <v>16</v>
      </c>
      <c r="D91" s="22">
        <v>1</v>
      </c>
      <c r="E91" s="22">
        <v>6643</v>
      </c>
      <c r="F91" s="22">
        <v>4.8299999237060502</v>
      </c>
      <c r="G91" s="22">
        <v>32</v>
      </c>
      <c r="H91" s="22">
        <v>6</v>
      </c>
      <c r="I91" s="22">
        <v>303</v>
      </c>
      <c r="J91" s="23">
        <v>3008</v>
      </c>
    </row>
    <row r="92" spans="1:10" x14ac:dyDescent="0.3">
      <c r="A92" s="20">
        <v>1644430081</v>
      </c>
      <c r="B92" s="21">
        <v>42500</v>
      </c>
      <c r="C92" s="22" t="s">
        <v>10</v>
      </c>
      <c r="D92" s="22">
        <v>2</v>
      </c>
      <c r="E92" s="22">
        <v>9167</v>
      </c>
      <c r="F92" s="22">
        <v>6.6599998474121103</v>
      </c>
      <c r="G92" s="22">
        <v>12</v>
      </c>
      <c r="H92" s="22">
        <v>19</v>
      </c>
      <c r="I92" s="22">
        <v>155</v>
      </c>
      <c r="J92" s="23">
        <v>2799</v>
      </c>
    </row>
    <row r="93" spans="1:10" x14ac:dyDescent="0.3">
      <c r="A93" s="20">
        <v>1644430081</v>
      </c>
      <c r="B93" s="21">
        <v>42501</v>
      </c>
      <c r="C93" s="22" t="s">
        <v>11</v>
      </c>
      <c r="D93" s="22">
        <v>3</v>
      </c>
      <c r="E93" s="22">
        <v>1329</v>
      </c>
      <c r="F93" s="22">
        <v>0.97000002861022905</v>
      </c>
      <c r="G93" s="22">
        <v>0</v>
      </c>
      <c r="H93" s="22">
        <v>0</v>
      </c>
      <c r="I93" s="22">
        <v>49</v>
      </c>
      <c r="J93" s="23">
        <v>1276</v>
      </c>
    </row>
    <row r="94" spans="1:10" x14ac:dyDescent="0.3">
      <c r="A94" s="20">
        <v>1844505072</v>
      </c>
      <c r="B94" s="21">
        <v>42472</v>
      </c>
      <c r="C94" s="22" t="s">
        <v>10</v>
      </c>
      <c r="D94" s="22">
        <v>2</v>
      </c>
      <c r="E94" s="22">
        <v>6697</v>
      </c>
      <c r="F94" s="22">
        <v>4.4299998283386204</v>
      </c>
      <c r="G94" s="22">
        <v>0</v>
      </c>
      <c r="H94" s="22">
        <v>0</v>
      </c>
      <c r="I94" s="22">
        <v>339</v>
      </c>
      <c r="J94" s="23">
        <v>2030</v>
      </c>
    </row>
    <row r="95" spans="1:10" x14ac:dyDescent="0.3">
      <c r="A95" s="20">
        <v>1844505072</v>
      </c>
      <c r="B95" s="21">
        <v>42473</v>
      </c>
      <c r="C95" s="22" t="s">
        <v>11</v>
      </c>
      <c r="D95" s="22">
        <v>3</v>
      </c>
      <c r="E95" s="22">
        <v>4929</v>
      </c>
      <c r="F95" s="22">
        <v>3.2599999904632599</v>
      </c>
      <c r="G95" s="22">
        <v>0</v>
      </c>
      <c r="H95" s="22">
        <v>0</v>
      </c>
      <c r="I95" s="22">
        <v>248</v>
      </c>
      <c r="J95" s="23">
        <v>1860</v>
      </c>
    </row>
    <row r="96" spans="1:10" x14ac:dyDescent="0.3">
      <c r="A96" s="20">
        <v>1844505072</v>
      </c>
      <c r="B96" s="21">
        <v>42474</v>
      </c>
      <c r="C96" s="22" t="s">
        <v>12</v>
      </c>
      <c r="D96" s="22">
        <v>4</v>
      </c>
      <c r="E96" s="22">
        <v>7937</v>
      </c>
      <c r="F96" s="22">
        <v>5.25</v>
      </c>
      <c r="G96" s="22">
        <v>0</v>
      </c>
      <c r="H96" s="22">
        <v>0</v>
      </c>
      <c r="I96" s="22">
        <v>373</v>
      </c>
      <c r="J96" s="23">
        <v>2130</v>
      </c>
    </row>
    <row r="97" spans="1:10" x14ac:dyDescent="0.3">
      <c r="A97" s="20">
        <v>1844505072</v>
      </c>
      <c r="B97" s="21">
        <v>42475</v>
      </c>
      <c r="C97" s="22" t="s">
        <v>13</v>
      </c>
      <c r="D97" s="22">
        <v>5</v>
      </c>
      <c r="E97" s="22">
        <v>3844</v>
      </c>
      <c r="F97" s="22">
        <v>2.53999996185303</v>
      </c>
      <c r="G97" s="22">
        <v>0</v>
      </c>
      <c r="H97" s="22">
        <v>0</v>
      </c>
      <c r="I97" s="22">
        <v>176</v>
      </c>
      <c r="J97" s="23">
        <v>1725</v>
      </c>
    </row>
    <row r="98" spans="1:10" x14ac:dyDescent="0.3">
      <c r="A98" s="20">
        <v>1844505072</v>
      </c>
      <c r="B98" s="21">
        <v>42476</v>
      </c>
      <c r="C98" s="22" t="s">
        <v>14</v>
      </c>
      <c r="D98" s="22">
        <v>6</v>
      </c>
      <c r="E98" s="22">
        <v>3414</v>
      </c>
      <c r="F98" s="22">
        <v>2.2599999904632599</v>
      </c>
      <c r="G98" s="22">
        <v>0</v>
      </c>
      <c r="H98" s="22">
        <v>0</v>
      </c>
      <c r="I98" s="22">
        <v>147</v>
      </c>
      <c r="J98" s="23">
        <v>1657</v>
      </c>
    </row>
    <row r="99" spans="1:10" x14ac:dyDescent="0.3">
      <c r="A99" s="20">
        <v>1844505072</v>
      </c>
      <c r="B99" s="21">
        <v>42477</v>
      </c>
      <c r="C99" s="22" t="s">
        <v>15</v>
      </c>
      <c r="D99" s="22">
        <v>0</v>
      </c>
      <c r="E99" s="22">
        <v>4525</v>
      </c>
      <c r="F99" s="22">
        <v>2.9900000095367401</v>
      </c>
      <c r="G99" s="22">
        <v>2</v>
      </c>
      <c r="H99" s="22">
        <v>8</v>
      </c>
      <c r="I99" s="22">
        <v>199</v>
      </c>
      <c r="J99" s="23">
        <v>1793</v>
      </c>
    </row>
    <row r="100" spans="1:10" x14ac:dyDescent="0.3">
      <c r="A100" s="20">
        <v>1844505072</v>
      </c>
      <c r="B100" s="21">
        <v>42478</v>
      </c>
      <c r="C100" s="22" t="s">
        <v>16</v>
      </c>
      <c r="D100" s="22">
        <v>1</v>
      </c>
      <c r="E100" s="22">
        <v>4597</v>
      </c>
      <c r="F100" s="22">
        <v>3.03999996185303</v>
      </c>
      <c r="G100" s="22">
        <v>0</v>
      </c>
      <c r="H100" s="22">
        <v>12</v>
      </c>
      <c r="I100" s="22">
        <v>217</v>
      </c>
      <c r="J100" s="23">
        <v>1814</v>
      </c>
    </row>
    <row r="101" spans="1:10" x14ac:dyDescent="0.3">
      <c r="A101" s="20">
        <v>1844505072</v>
      </c>
      <c r="B101" s="21">
        <v>42479</v>
      </c>
      <c r="C101" s="22" t="s">
        <v>10</v>
      </c>
      <c r="D101" s="22">
        <v>2</v>
      </c>
      <c r="E101" s="22">
        <v>197</v>
      </c>
      <c r="F101" s="22">
        <v>0.129999995231628</v>
      </c>
      <c r="G101" s="22">
        <v>0</v>
      </c>
      <c r="H101" s="22">
        <v>0</v>
      </c>
      <c r="I101" s="22">
        <v>10</v>
      </c>
      <c r="J101" s="23">
        <v>1366</v>
      </c>
    </row>
    <row r="102" spans="1:10" x14ac:dyDescent="0.3">
      <c r="A102" s="20">
        <v>1844505072</v>
      </c>
      <c r="B102" s="21">
        <v>42480</v>
      </c>
      <c r="C102" s="22" t="s">
        <v>11</v>
      </c>
      <c r="D102" s="22">
        <v>3</v>
      </c>
      <c r="E102" s="22">
        <v>8</v>
      </c>
      <c r="F102" s="22">
        <v>9.9999997764825804E-3</v>
      </c>
      <c r="G102" s="22">
        <v>0</v>
      </c>
      <c r="H102" s="22">
        <v>0</v>
      </c>
      <c r="I102" s="22">
        <v>1</v>
      </c>
      <c r="J102" s="23">
        <v>1349</v>
      </c>
    </row>
    <row r="103" spans="1:10" x14ac:dyDescent="0.3">
      <c r="A103" s="20">
        <v>1844505072</v>
      </c>
      <c r="B103" s="21">
        <v>42481</v>
      </c>
      <c r="C103" s="22" t="s">
        <v>12</v>
      </c>
      <c r="D103" s="22">
        <v>4</v>
      </c>
      <c r="E103" s="22">
        <v>8054</v>
      </c>
      <c r="F103" s="22">
        <v>5.3200001716613796</v>
      </c>
      <c r="G103" s="22">
        <v>2</v>
      </c>
      <c r="H103" s="22">
        <v>13</v>
      </c>
      <c r="I103" s="22">
        <v>308</v>
      </c>
      <c r="J103" s="23">
        <v>2062</v>
      </c>
    </row>
    <row r="104" spans="1:10" x14ac:dyDescent="0.3">
      <c r="A104" s="20">
        <v>1844505072</v>
      </c>
      <c r="B104" s="21">
        <v>42482</v>
      </c>
      <c r="C104" s="22" t="s">
        <v>13</v>
      </c>
      <c r="D104" s="22">
        <v>5</v>
      </c>
      <c r="E104" s="22">
        <v>5372</v>
      </c>
      <c r="F104" s="22">
        <v>3.5499999523162802</v>
      </c>
      <c r="G104" s="22">
        <v>0</v>
      </c>
      <c r="H104" s="22">
        <v>0</v>
      </c>
      <c r="I104" s="22">
        <v>220</v>
      </c>
      <c r="J104" s="23">
        <v>1827</v>
      </c>
    </row>
    <row r="105" spans="1:10" x14ac:dyDescent="0.3">
      <c r="A105" s="20">
        <v>1844505072</v>
      </c>
      <c r="B105" s="21">
        <v>42483</v>
      </c>
      <c r="C105" s="22" t="s">
        <v>14</v>
      </c>
      <c r="D105" s="22">
        <v>6</v>
      </c>
      <c r="E105" s="22">
        <v>3570</v>
      </c>
      <c r="F105" s="22">
        <v>2.3599998950958301</v>
      </c>
      <c r="G105" s="22">
        <v>0</v>
      </c>
      <c r="H105" s="22">
        <v>0</v>
      </c>
      <c r="I105" s="22">
        <v>139</v>
      </c>
      <c r="J105" s="23">
        <v>1645</v>
      </c>
    </row>
    <row r="106" spans="1:10" x14ac:dyDescent="0.3">
      <c r="A106" s="20">
        <v>1844505072</v>
      </c>
      <c r="B106" s="21">
        <v>42484</v>
      </c>
      <c r="C106" s="22" t="s">
        <v>15</v>
      </c>
      <c r="D106" s="22">
        <v>0</v>
      </c>
      <c r="E106" s="22">
        <v>0</v>
      </c>
      <c r="F106" s="22">
        <v>0</v>
      </c>
      <c r="G106" s="22">
        <v>0</v>
      </c>
      <c r="H106" s="22">
        <v>0</v>
      </c>
      <c r="I106" s="22">
        <v>0</v>
      </c>
      <c r="J106" s="23">
        <v>1347</v>
      </c>
    </row>
    <row r="107" spans="1:10" x14ac:dyDescent="0.3">
      <c r="A107" s="20">
        <v>1844505072</v>
      </c>
      <c r="B107" s="21">
        <v>42485</v>
      </c>
      <c r="C107" s="22" t="s">
        <v>16</v>
      </c>
      <c r="D107" s="22">
        <v>1</v>
      </c>
      <c r="E107" s="22">
        <v>0</v>
      </c>
      <c r="F107" s="22">
        <v>0</v>
      </c>
      <c r="G107" s="22">
        <v>0</v>
      </c>
      <c r="H107" s="22">
        <v>0</v>
      </c>
      <c r="I107" s="22">
        <v>0</v>
      </c>
      <c r="J107" s="23">
        <v>1347</v>
      </c>
    </row>
    <row r="108" spans="1:10" x14ac:dyDescent="0.3">
      <c r="A108" s="20">
        <v>1844505072</v>
      </c>
      <c r="B108" s="21">
        <v>42486</v>
      </c>
      <c r="C108" s="22" t="s">
        <v>10</v>
      </c>
      <c r="D108" s="22">
        <v>2</v>
      </c>
      <c r="E108" s="22">
        <v>0</v>
      </c>
      <c r="F108" s="22">
        <v>0</v>
      </c>
      <c r="G108" s="22">
        <v>0</v>
      </c>
      <c r="H108" s="22">
        <v>0</v>
      </c>
      <c r="I108" s="22">
        <v>0</v>
      </c>
      <c r="J108" s="23">
        <v>1347</v>
      </c>
    </row>
    <row r="109" spans="1:10" x14ac:dyDescent="0.3">
      <c r="A109" s="20">
        <v>1844505072</v>
      </c>
      <c r="B109" s="21">
        <v>42487</v>
      </c>
      <c r="C109" s="22" t="s">
        <v>11</v>
      </c>
      <c r="D109" s="22">
        <v>3</v>
      </c>
      <c r="E109" s="22">
        <v>4</v>
      </c>
      <c r="F109" s="22">
        <v>0</v>
      </c>
      <c r="G109" s="22">
        <v>0</v>
      </c>
      <c r="H109" s="22">
        <v>0</v>
      </c>
      <c r="I109" s="22">
        <v>1</v>
      </c>
      <c r="J109" s="23">
        <v>1348</v>
      </c>
    </row>
    <row r="110" spans="1:10" x14ac:dyDescent="0.3">
      <c r="A110" s="20">
        <v>1844505072</v>
      </c>
      <c r="B110" s="21">
        <v>42488</v>
      </c>
      <c r="C110" s="22" t="s">
        <v>12</v>
      </c>
      <c r="D110" s="22">
        <v>4</v>
      </c>
      <c r="E110" s="22">
        <v>6907</v>
      </c>
      <c r="F110" s="22">
        <v>4.5700001716613796</v>
      </c>
      <c r="G110" s="22">
        <v>0</v>
      </c>
      <c r="H110" s="22">
        <v>0</v>
      </c>
      <c r="I110" s="22">
        <v>302</v>
      </c>
      <c r="J110" s="23">
        <v>1992</v>
      </c>
    </row>
    <row r="111" spans="1:10" x14ac:dyDescent="0.3">
      <c r="A111" s="20">
        <v>1844505072</v>
      </c>
      <c r="B111" s="21">
        <v>42489</v>
      </c>
      <c r="C111" s="22" t="s">
        <v>13</v>
      </c>
      <c r="D111" s="22">
        <v>5</v>
      </c>
      <c r="E111" s="22">
        <v>4920</v>
      </c>
      <c r="F111" s="22">
        <v>3.25</v>
      </c>
      <c r="G111" s="22">
        <v>0</v>
      </c>
      <c r="H111" s="22">
        <v>0</v>
      </c>
      <c r="I111" s="22">
        <v>247</v>
      </c>
      <c r="J111" s="23">
        <v>1856</v>
      </c>
    </row>
    <row r="112" spans="1:10" x14ac:dyDescent="0.3">
      <c r="A112" s="20">
        <v>1844505072</v>
      </c>
      <c r="B112" s="21">
        <v>42490</v>
      </c>
      <c r="C112" s="22" t="s">
        <v>14</v>
      </c>
      <c r="D112" s="22">
        <v>6</v>
      </c>
      <c r="E112" s="22">
        <v>4014</v>
      </c>
      <c r="F112" s="22">
        <v>2.6700000762939502</v>
      </c>
      <c r="G112" s="22">
        <v>0</v>
      </c>
      <c r="H112" s="22">
        <v>0</v>
      </c>
      <c r="I112" s="22">
        <v>184</v>
      </c>
      <c r="J112" s="23">
        <v>1763</v>
      </c>
    </row>
    <row r="113" spans="1:10" x14ac:dyDescent="0.3">
      <c r="A113" s="20">
        <v>1844505072</v>
      </c>
      <c r="B113" s="21">
        <v>42491</v>
      </c>
      <c r="C113" s="22" t="s">
        <v>15</v>
      </c>
      <c r="D113" s="22">
        <v>0</v>
      </c>
      <c r="E113" s="22">
        <v>2573</v>
      </c>
      <c r="F113" s="22">
        <v>1.70000004768372</v>
      </c>
      <c r="G113" s="22">
        <v>0</v>
      </c>
      <c r="H113" s="22">
        <v>7</v>
      </c>
      <c r="I113" s="22">
        <v>75</v>
      </c>
      <c r="J113" s="23">
        <v>1541</v>
      </c>
    </row>
    <row r="114" spans="1:10" x14ac:dyDescent="0.3">
      <c r="A114" s="20">
        <v>1844505072</v>
      </c>
      <c r="B114" s="21">
        <v>42492</v>
      </c>
      <c r="C114" s="22" t="s">
        <v>16</v>
      </c>
      <c r="D114" s="22">
        <v>1</v>
      </c>
      <c r="E114" s="22">
        <v>0</v>
      </c>
      <c r="F114" s="22">
        <v>0</v>
      </c>
      <c r="G114" s="22">
        <v>0</v>
      </c>
      <c r="H114" s="22">
        <v>0</v>
      </c>
      <c r="I114" s="22">
        <v>0</v>
      </c>
      <c r="J114" s="23">
        <v>1348</v>
      </c>
    </row>
    <row r="115" spans="1:10" x14ac:dyDescent="0.3">
      <c r="A115" s="20">
        <v>1844505072</v>
      </c>
      <c r="B115" s="21">
        <v>42493</v>
      </c>
      <c r="C115" s="22" t="s">
        <v>10</v>
      </c>
      <c r="D115" s="22">
        <v>2</v>
      </c>
      <c r="E115" s="22">
        <v>4059</v>
      </c>
      <c r="F115" s="22">
        <v>2.6800000667571999</v>
      </c>
      <c r="G115" s="22">
        <v>0</v>
      </c>
      <c r="H115" s="22">
        <v>0</v>
      </c>
      <c r="I115" s="22">
        <v>184</v>
      </c>
      <c r="J115" s="23">
        <v>1742</v>
      </c>
    </row>
    <row r="116" spans="1:10" x14ac:dyDescent="0.3">
      <c r="A116" s="20">
        <v>1844505072</v>
      </c>
      <c r="B116" s="21">
        <v>42494</v>
      </c>
      <c r="C116" s="22" t="s">
        <v>11</v>
      </c>
      <c r="D116" s="22">
        <v>3</v>
      </c>
      <c r="E116" s="22">
        <v>2080</v>
      </c>
      <c r="F116" s="22">
        <v>1.37000000476837</v>
      </c>
      <c r="G116" s="22">
        <v>0</v>
      </c>
      <c r="H116" s="22">
        <v>0</v>
      </c>
      <c r="I116" s="22">
        <v>87</v>
      </c>
      <c r="J116" s="23">
        <v>1549</v>
      </c>
    </row>
    <row r="117" spans="1:10" x14ac:dyDescent="0.3">
      <c r="A117" s="20">
        <v>1844505072</v>
      </c>
      <c r="B117" s="21">
        <v>42495</v>
      </c>
      <c r="C117" s="22" t="s">
        <v>12</v>
      </c>
      <c r="D117" s="22">
        <v>4</v>
      </c>
      <c r="E117" s="22">
        <v>2237</v>
      </c>
      <c r="F117" s="22">
        <v>1.4800000190734901</v>
      </c>
      <c r="G117" s="22">
        <v>0</v>
      </c>
      <c r="H117" s="22">
        <v>0</v>
      </c>
      <c r="I117" s="22">
        <v>120</v>
      </c>
      <c r="J117" s="23">
        <v>1589</v>
      </c>
    </row>
    <row r="118" spans="1:10" x14ac:dyDescent="0.3">
      <c r="A118" s="20">
        <v>1844505072</v>
      </c>
      <c r="B118" s="21">
        <v>42496</v>
      </c>
      <c r="C118" s="22" t="s">
        <v>13</v>
      </c>
      <c r="D118" s="22">
        <v>5</v>
      </c>
      <c r="E118" s="22">
        <v>44</v>
      </c>
      <c r="F118" s="22">
        <v>2.9999999329447701E-2</v>
      </c>
      <c r="G118" s="22">
        <v>0</v>
      </c>
      <c r="H118" s="22">
        <v>0</v>
      </c>
      <c r="I118" s="22">
        <v>2</v>
      </c>
      <c r="J118" s="23">
        <v>1351</v>
      </c>
    </row>
    <row r="119" spans="1:10" x14ac:dyDescent="0.3">
      <c r="A119" s="20">
        <v>1844505072</v>
      </c>
      <c r="B119" s="21">
        <v>42497</v>
      </c>
      <c r="C119" s="22" t="s">
        <v>14</v>
      </c>
      <c r="D119" s="22">
        <v>6</v>
      </c>
      <c r="E119" s="22">
        <v>0</v>
      </c>
      <c r="F119" s="22">
        <v>0</v>
      </c>
      <c r="G119" s="22">
        <v>0</v>
      </c>
      <c r="H119" s="22">
        <v>0</v>
      </c>
      <c r="I119" s="22">
        <v>0</v>
      </c>
      <c r="J119" s="23">
        <v>1347</v>
      </c>
    </row>
    <row r="120" spans="1:10" x14ac:dyDescent="0.3">
      <c r="A120" s="20">
        <v>1844505072</v>
      </c>
      <c r="B120" s="21">
        <v>42498</v>
      </c>
      <c r="C120" s="22" t="s">
        <v>15</v>
      </c>
      <c r="D120" s="22">
        <v>0</v>
      </c>
      <c r="E120" s="22">
        <v>0</v>
      </c>
      <c r="F120" s="22">
        <v>0</v>
      </c>
      <c r="G120" s="22">
        <v>0</v>
      </c>
      <c r="H120" s="22">
        <v>0</v>
      </c>
      <c r="I120" s="22">
        <v>0</v>
      </c>
      <c r="J120" s="23">
        <v>1347</v>
      </c>
    </row>
    <row r="121" spans="1:10" x14ac:dyDescent="0.3">
      <c r="A121" s="20">
        <v>1844505072</v>
      </c>
      <c r="B121" s="21">
        <v>42499</v>
      </c>
      <c r="C121" s="22" t="s">
        <v>16</v>
      </c>
      <c r="D121" s="22">
        <v>1</v>
      </c>
      <c r="E121" s="22">
        <v>0</v>
      </c>
      <c r="F121" s="22">
        <v>0</v>
      </c>
      <c r="G121" s="22">
        <v>0</v>
      </c>
      <c r="H121" s="22">
        <v>0</v>
      </c>
      <c r="I121" s="22">
        <v>0</v>
      </c>
      <c r="J121" s="23">
        <v>1347</v>
      </c>
    </row>
    <row r="122" spans="1:10" x14ac:dyDescent="0.3">
      <c r="A122" s="20">
        <v>1844505072</v>
      </c>
      <c r="B122" s="21">
        <v>42500</v>
      </c>
      <c r="C122" s="22" t="s">
        <v>10</v>
      </c>
      <c r="D122" s="22">
        <v>2</v>
      </c>
      <c r="E122" s="22">
        <v>0</v>
      </c>
      <c r="F122" s="22">
        <v>0</v>
      </c>
      <c r="G122" s="22">
        <v>0</v>
      </c>
      <c r="H122" s="22">
        <v>0</v>
      </c>
      <c r="I122" s="22">
        <v>0</v>
      </c>
      <c r="J122" s="23">
        <v>1347</v>
      </c>
    </row>
    <row r="123" spans="1:10" x14ac:dyDescent="0.3">
      <c r="A123" s="20">
        <v>1844505072</v>
      </c>
      <c r="B123" s="21">
        <v>42501</v>
      </c>
      <c r="C123" s="22" t="s">
        <v>11</v>
      </c>
      <c r="D123" s="22">
        <v>3</v>
      </c>
      <c r="E123" s="22">
        <v>0</v>
      </c>
      <c r="F123" s="22">
        <v>0</v>
      </c>
      <c r="G123" s="22">
        <v>0</v>
      </c>
      <c r="H123" s="22">
        <v>0</v>
      </c>
      <c r="I123" s="22">
        <v>0</v>
      </c>
      <c r="J123" s="23">
        <v>1347</v>
      </c>
    </row>
    <row r="124" spans="1:10" x14ac:dyDescent="0.3">
      <c r="A124" s="20">
        <v>1844505072</v>
      </c>
      <c r="B124" s="21">
        <v>42502</v>
      </c>
      <c r="C124" s="22" t="s">
        <v>12</v>
      </c>
      <c r="D124" s="22">
        <v>4</v>
      </c>
      <c r="E124" s="22">
        <v>0</v>
      </c>
      <c r="F124" s="22">
        <v>0</v>
      </c>
      <c r="G124" s="22">
        <v>0</v>
      </c>
      <c r="H124" s="22">
        <v>0</v>
      </c>
      <c r="I124" s="22">
        <v>0</v>
      </c>
      <c r="J124" s="23">
        <v>665</v>
      </c>
    </row>
    <row r="125" spans="1:10" x14ac:dyDescent="0.3">
      <c r="A125" s="20">
        <v>1927972279</v>
      </c>
      <c r="B125" s="21">
        <v>42472</v>
      </c>
      <c r="C125" s="22" t="s">
        <v>10</v>
      </c>
      <c r="D125" s="22">
        <v>2</v>
      </c>
      <c r="E125" s="22">
        <v>678</v>
      </c>
      <c r="F125" s="22">
        <v>0.46999999880790699</v>
      </c>
      <c r="G125" s="22">
        <v>0</v>
      </c>
      <c r="H125" s="22">
        <v>0</v>
      </c>
      <c r="I125" s="22">
        <v>55</v>
      </c>
      <c r="J125" s="23">
        <v>2220</v>
      </c>
    </row>
    <row r="126" spans="1:10" x14ac:dyDescent="0.3">
      <c r="A126" s="20">
        <v>1927972279</v>
      </c>
      <c r="B126" s="21">
        <v>42473</v>
      </c>
      <c r="C126" s="22" t="s">
        <v>11</v>
      </c>
      <c r="D126" s="22">
        <v>3</v>
      </c>
      <c r="E126" s="22">
        <v>356</v>
      </c>
      <c r="F126" s="22">
        <v>0.25</v>
      </c>
      <c r="G126" s="22">
        <v>0</v>
      </c>
      <c r="H126" s="22">
        <v>0</v>
      </c>
      <c r="I126" s="22">
        <v>32</v>
      </c>
      <c r="J126" s="23">
        <v>2151</v>
      </c>
    </row>
    <row r="127" spans="1:10" x14ac:dyDescent="0.3">
      <c r="A127" s="20">
        <v>1927972279</v>
      </c>
      <c r="B127" s="21">
        <v>42474</v>
      </c>
      <c r="C127" s="22" t="s">
        <v>12</v>
      </c>
      <c r="D127" s="22">
        <v>4</v>
      </c>
      <c r="E127" s="22">
        <v>2163</v>
      </c>
      <c r="F127" s="22">
        <v>1.5</v>
      </c>
      <c r="G127" s="22">
        <v>0</v>
      </c>
      <c r="H127" s="22">
        <v>9</v>
      </c>
      <c r="I127" s="22">
        <v>88</v>
      </c>
      <c r="J127" s="23">
        <v>2383</v>
      </c>
    </row>
    <row r="128" spans="1:10" x14ac:dyDescent="0.3">
      <c r="A128" s="20">
        <v>1927972279</v>
      </c>
      <c r="B128" s="21">
        <v>42475</v>
      </c>
      <c r="C128" s="22" t="s">
        <v>13</v>
      </c>
      <c r="D128" s="22">
        <v>5</v>
      </c>
      <c r="E128" s="22">
        <v>980</v>
      </c>
      <c r="F128" s="22">
        <v>0.68000000715255704</v>
      </c>
      <c r="G128" s="22">
        <v>0</v>
      </c>
      <c r="H128" s="22">
        <v>0</v>
      </c>
      <c r="I128" s="22">
        <v>51</v>
      </c>
      <c r="J128" s="23">
        <v>2221</v>
      </c>
    </row>
    <row r="129" spans="1:10" x14ac:dyDescent="0.3">
      <c r="A129" s="20">
        <v>1927972279</v>
      </c>
      <c r="B129" s="21">
        <v>42476</v>
      </c>
      <c r="C129" s="22" t="s">
        <v>14</v>
      </c>
      <c r="D129" s="22">
        <v>6</v>
      </c>
      <c r="E129" s="22">
        <v>0</v>
      </c>
      <c r="F129" s="22">
        <v>0</v>
      </c>
      <c r="G129" s="22">
        <v>0</v>
      </c>
      <c r="H129" s="22">
        <v>0</v>
      </c>
      <c r="I129" s="22">
        <v>0</v>
      </c>
      <c r="J129" s="23">
        <v>2064</v>
      </c>
    </row>
    <row r="130" spans="1:10" x14ac:dyDescent="0.3">
      <c r="A130" s="20">
        <v>1927972279</v>
      </c>
      <c r="B130" s="21">
        <v>42477</v>
      </c>
      <c r="C130" s="22" t="s">
        <v>15</v>
      </c>
      <c r="D130" s="22">
        <v>0</v>
      </c>
      <c r="E130" s="22">
        <v>0</v>
      </c>
      <c r="F130" s="22">
        <v>0</v>
      </c>
      <c r="G130" s="22">
        <v>0</v>
      </c>
      <c r="H130" s="22">
        <v>0</v>
      </c>
      <c r="I130" s="22">
        <v>0</v>
      </c>
      <c r="J130" s="23">
        <v>2063</v>
      </c>
    </row>
    <row r="131" spans="1:10" x14ac:dyDescent="0.3">
      <c r="A131" s="20">
        <v>1927972279</v>
      </c>
      <c r="B131" s="21">
        <v>42478</v>
      </c>
      <c r="C131" s="22" t="s">
        <v>16</v>
      </c>
      <c r="D131" s="22">
        <v>1</v>
      </c>
      <c r="E131" s="22">
        <v>244</v>
      </c>
      <c r="F131" s="22">
        <v>0.17000000178813901</v>
      </c>
      <c r="G131" s="22">
        <v>0</v>
      </c>
      <c r="H131" s="22">
        <v>0</v>
      </c>
      <c r="I131" s="22">
        <v>17</v>
      </c>
      <c r="J131" s="23">
        <v>2111</v>
      </c>
    </row>
    <row r="132" spans="1:10" x14ac:dyDescent="0.3">
      <c r="A132" s="20">
        <v>1927972279</v>
      </c>
      <c r="B132" s="21">
        <v>42479</v>
      </c>
      <c r="C132" s="22" t="s">
        <v>10</v>
      </c>
      <c r="D132" s="22">
        <v>2</v>
      </c>
      <c r="E132" s="22">
        <v>0</v>
      </c>
      <c r="F132" s="22">
        <v>0</v>
      </c>
      <c r="G132" s="22">
        <v>0</v>
      </c>
      <c r="H132" s="22">
        <v>0</v>
      </c>
      <c r="I132" s="22">
        <v>0</v>
      </c>
      <c r="J132" s="23">
        <v>2063</v>
      </c>
    </row>
    <row r="133" spans="1:10" x14ac:dyDescent="0.3">
      <c r="A133" s="20">
        <v>1927972279</v>
      </c>
      <c r="B133" s="21">
        <v>42480</v>
      </c>
      <c r="C133" s="22" t="s">
        <v>11</v>
      </c>
      <c r="D133" s="22">
        <v>3</v>
      </c>
      <c r="E133" s="22">
        <v>0</v>
      </c>
      <c r="F133" s="22">
        <v>0</v>
      </c>
      <c r="G133" s="22">
        <v>0</v>
      </c>
      <c r="H133" s="22">
        <v>0</v>
      </c>
      <c r="I133" s="22">
        <v>0</v>
      </c>
      <c r="J133" s="23">
        <v>2063</v>
      </c>
    </row>
    <row r="134" spans="1:10" x14ac:dyDescent="0.3">
      <c r="A134" s="20">
        <v>1927972279</v>
      </c>
      <c r="B134" s="21">
        <v>42481</v>
      </c>
      <c r="C134" s="22" t="s">
        <v>12</v>
      </c>
      <c r="D134" s="22">
        <v>4</v>
      </c>
      <c r="E134" s="22">
        <v>0</v>
      </c>
      <c r="F134" s="22">
        <v>0</v>
      </c>
      <c r="G134" s="22">
        <v>0</v>
      </c>
      <c r="H134" s="22">
        <v>0</v>
      </c>
      <c r="I134" s="22">
        <v>0</v>
      </c>
      <c r="J134" s="23">
        <v>2064</v>
      </c>
    </row>
    <row r="135" spans="1:10" x14ac:dyDescent="0.3">
      <c r="A135" s="20">
        <v>1927972279</v>
      </c>
      <c r="B135" s="21">
        <v>42482</v>
      </c>
      <c r="C135" s="22" t="s">
        <v>13</v>
      </c>
      <c r="D135" s="22">
        <v>5</v>
      </c>
      <c r="E135" s="22">
        <v>149</v>
      </c>
      <c r="F135" s="22">
        <v>0.10000000149011599</v>
      </c>
      <c r="G135" s="22">
        <v>0</v>
      </c>
      <c r="H135" s="22">
        <v>0</v>
      </c>
      <c r="I135" s="22">
        <v>10</v>
      </c>
      <c r="J135" s="23">
        <v>2093</v>
      </c>
    </row>
    <row r="136" spans="1:10" x14ac:dyDescent="0.3">
      <c r="A136" s="20">
        <v>1927972279</v>
      </c>
      <c r="B136" s="21">
        <v>42483</v>
      </c>
      <c r="C136" s="22" t="s">
        <v>14</v>
      </c>
      <c r="D136" s="22">
        <v>6</v>
      </c>
      <c r="E136" s="22">
        <v>2945</v>
      </c>
      <c r="F136" s="22">
        <v>2.03999996185303</v>
      </c>
      <c r="G136" s="22">
        <v>0</v>
      </c>
      <c r="H136" s="22">
        <v>0</v>
      </c>
      <c r="I136" s="22">
        <v>145</v>
      </c>
      <c r="J136" s="23">
        <v>2499</v>
      </c>
    </row>
    <row r="137" spans="1:10" x14ac:dyDescent="0.3">
      <c r="A137" s="20">
        <v>1927972279</v>
      </c>
      <c r="B137" s="21">
        <v>42484</v>
      </c>
      <c r="C137" s="22" t="s">
        <v>15</v>
      </c>
      <c r="D137" s="22">
        <v>0</v>
      </c>
      <c r="E137" s="22">
        <v>2090</v>
      </c>
      <c r="F137" s="22">
        <v>1.45000004768372</v>
      </c>
      <c r="G137" s="22">
        <v>1</v>
      </c>
      <c r="H137" s="22">
        <v>6</v>
      </c>
      <c r="I137" s="22">
        <v>75</v>
      </c>
      <c r="J137" s="23">
        <v>2324</v>
      </c>
    </row>
    <row r="138" spans="1:10" x14ac:dyDescent="0.3">
      <c r="A138" s="20">
        <v>1927972279</v>
      </c>
      <c r="B138" s="21">
        <v>42485</v>
      </c>
      <c r="C138" s="22" t="s">
        <v>16</v>
      </c>
      <c r="D138" s="22">
        <v>1</v>
      </c>
      <c r="E138" s="22">
        <v>152</v>
      </c>
      <c r="F138" s="22">
        <v>0.109999999403954</v>
      </c>
      <c r="G138" s="22">
        <v>0</v>
      </c>
      <c r="H138" s="22">
        <v>0</v>
      </c>
      <c r="I138" s="22">
        <v>12</v>
      </c>
      <c r="J138" s="23">
        <v>2100</v>
      </c>
    </row>
    <row r="139" spans="1:10" x14ac:dyDescent="0.3">
      <c r="A139" s="20">
        <v>1927972279</v>
      </c>
      <c r="B139" s="21">
        <v>42486</v>
      </c>
      <c r="C139" s="22" t="s">
        <v>10</v>
      </c>
      <c r="D139" s="22">
        <v>2</v>
      </c>
      <c r="E139" s="22">
        <v>3761</v>
      </c>
      <c r="F139" s="22">
        <v>2.5999999046325701</v>
      </c>
      <c r="G139" s="22">
        <v>0</v>
      </c>
      <c r="H139" s="22">
        <v>0</v>
      </c>
      <c r="I139" s="22">
        <v>192</v>
      </c>
      <c r="J139" s="23">
        <v>2638</v>
      </c>
    </row>
    <row r="140" spans="1:10" x14ac:dyDescent="0.3">
      <c r="A140" s="20">
        <v>1927972279</v>
      </c>
      <c r="B140" s="21">
        <v>42487</v>
      </c>
      <c r="C140" s="22" t="s">
        <v>11</v>
      </c>
      <c r="D140" s="22">
        <v>3</v>
      </c>
      <c r="E140" s="22">
        <v>0</v>
      </c>
      <c r="F140" s="22">
        <v>0</v>
      </c>
      <c r="G140" s="22">
        <v>0</v>
      </c>
      <c r="H140" s="22">
        <v>0</v>
      </c>
      <c r="I140" s="22">
        <v>0</v>
      </c>
      <c r="J140" s="23">
        <v>2063</v>
      </c>
    </row>
    <row r="141" spans="1:10" x14ac:dyDescent="0.3">
      <c r="A141" s="20">
        <v>1927972279</v>
      </c>
      <c r="B141" s="21">
        <v>42488</v>
      </c>
      <c r="C141" s="22" t="s">
        <v>12</v>
      </c>
      <c r="D141" s="22">
        <v>4</v>
      </c>
      <c r="E141" s="22">
        <v>1675</v>
      </c>
      <c r="F141" s="22">
        <v>1.1599999666214</v>
      </c>
      <c r="G141" s="22">
        <v>0</v>
      </c>
      <c r="H141" s="22">
        <v>0</v>
      </c>
      <c r="I141" s="22">
        <v>95</v>
      </c>
      <c r="J141" s="23">
        <v>2351</v>
      </c>
    </row>
    <row r="142" spans="1:10" x14ac:dyDescent="0.3">
      <c r="A142" s="20">
        <v>1927972279</v>
      </c>
      <c r="B142" s="21">
        <v>42489</v>
      </c>
      <c r="C142" s="22" t="s">
        <v>13</v>
      </c>
      <c r="D142" s="22">
        <v>5</v>
      </c>
      <c r="E142" s="22">
        <v>0</v>
      </c>
      <c r="F142" s="22">
        <v>0</v>
      </c>
      <c r="G142" s="22">
        <v>0</v>
      </c>
      <c r="H142" s="22">
        <v>0</v>
      </c>
      <c r="I142" s="22">
        <v>0</v>
      </c>
      <c r="J142" s="23">
        <v>2063</v>
      </c>
    </row>
    <row r="143" spans="1:10" x14ac:dyDescent="0.3">
      <c r="A143" s="20">
        <v>1927972279</v>
      </c>
      <c r="B143" s="21">
        <v>42490</v>
      </c>
      <c r="C143" s="22" t="s">
        <v>14</v>
      </c>
      <c r="D143" s="22">
        <v>6</v>
      </c>
      <c r="E143" s="22">
        <v>0</v>
      </c>
      <c r="F143" s="22">
        <v>0</v>
      </c>
      <c r="G143" s="22">
        <v>0</v>
      </c>
      <c r="H143" s="22">
        <v>0</v>
      </c>
      <c r="I143" s="22">
        <v>0</v>
      </c>
      <c r="J143" s="23">
        <v>2064</v>
      </c>
    </row>
    <row r="144" spans="1:10" x14ac:dyDescent="0.3">
      <c r="A144" s="20">
        <v>1927972279</v>
      </c>
      <c r="B144" s="21">
        <v>42491</v>
      </c>
      <c r="C144" s="22" t="s">
        <v>15</v>
      </c>
      <c r="D144" s="22">
        <v>0</v>
      </c>
      <c r="E144" s="22">
        <v>2704</v>
      </c>
      <c r="F144" s="22">
        <v>1.87000000476837</v>
      </c>
      <c r="G144" s="22">
        <v>14</v>
      </c>
      <c r="H144" s="22">
        <v>1</v>
      </c>
      <c r="I144" s="22">
        <v>70</v>
      </c>
      <c r="J144" s="23">
        <v>2411</v>
      </c>
    </row>
    <row r="145" spans="1:10" x14ac:dyDescent="0.3">
      <c r="A145" s="20">
        <v>1927972279</v>
      </c>
      <c r="B145" s="21">
        <v>42492</v>
      </c>
      <c r="C145" s="22" t="s">
        <v>16</v>
      </c>
      <c r="D145" s="22">
        <v>1</v>
      </c>
      <c r="E145" s="22">
        <v>3790</v>
      </c>
      <c r="F145" s="22">
        <v>2.6199998855590798</v>
      </c>
      <c r="G145" s="22">
        <v>16</v>
      </c>
      <c r="H145" s="22">
        <v>8</v>
      </c>
      <c r="I145" s="22">
        <v>94</v>
      </c>
      <c r="J145" s="23">
        <v>2505</v>
      </c>
    </row>
    <row r="146" spans="1:10" x14ac:dyDescent="0.3">
      <c r="A146" s="20">
        <v>1927972279</v>
      </c>
      <c r="B146" s="21">
        <v>42493</v>
      </c>
      <c r="C146" s="22" t="s">
        <v>10</v>
      </c>
      <c r="D146" s="22">
        <v>2</v>
      </c>
      <c r="E146" s="22">
        <v>1326</v>
      </c>
      <c r="F146" s="22">
        <v>0.92000001668930098</v>
      </c>
      <c r="G146" s="22">
        <v>10</v>
      </c>
      <c r="H146" s="22">
        <v>0</v>
      </c>
      <c r="I146" s="22">
        <v>17</v>
      </c>
      <c r="J146" s="23">
        <v>2195</v>
      </c>
    </row>
    <row r="147" spans="1:10" x14ac:dyDescent="0.3">
      <c r="A147" s="20">
        <v>1927972279</v>
      </c>
      <c r="B147" s="21">
        <v>42494</v>
      </c>
      <c r="C147" s="22" t="s">
        <v>11</v>
      </c>
      <c r="D147" s="22">
        <v>3</v>
      </c>
      <c r="E147" s="22">
        <v>1786</v>
      </c>
      <c r="F147" s="22">
        <v>1.2400000095367401</v>
      </c>
      <c r="G147" s="22">
        <v>0</v>
      </c>
      <c r="H147" s="22">
        <v>0</v>
      </c>
      <c r="I147" s="22">
        <v>87</v>
      </c>
      <c r="J147" s="23">
        <v>2338</v>
      </c>
    </row>
    <row r="148" spans="1:10" x14ac:dyDescent="0.3">
      <c r="A148" s="20">
        <v>1927972279</v>
      </c>
      <c r="B148" s="21">
        <v>42495</v>
      </c>
      <c r="C148" s="22" t="s">
        <v>12</v>
      </c>
      <c r="D148" s="22">
        <v>4</v>
      </c>
      <c r="E148" s="22">
        <v>0</v>
      </c>
      <c r="F148" s="22">
        <v>0</v>
      </c>
      <c r="G148" s="22">
        <v>0</v>
      </c>
      <c r="H148" s="22">
        <v>0</v>
      </c>
      <c r="I148" s="22">
        <v>0</v>
      </c>
      <c r="J148" s="23">
        <v>2063</v>
      </c>
    </row>
    <row r="149" spans="1:10" x14ac:dyDescent="0.3">
      <c r="A149" s="20">
        <v>1927972279</v>
      </c>
      <c r="B149" s="21">
        <v>42496</v>
      </c>
      <c r="C149" s="22" t="s">
        <v>13</v>
      </c>
      <c r="D149" s="22">
        <v>5</v>
      </c>
      <c r="E149" s="22">
        <v>2091</v>
      </c>
      <c r="F149" s="22">
        <v>1.45000004768372</v>
      </c>
      <c r="G149" s="22">
        <v>0</v>
      </c>
      <c r="H149" s="22">
        <v>0</v>
      </c>
      <c r="I149" s="22">
        <v>108</v>
      </c>
      <c r="J149" s="23">
        <v>2383</v>
      </c>
    </row>
    <row r="150" spans="1:10" x14ac:dyDescent="0.3">
      <c r="A150" s="20">
        <v>1927972279</v>
      </c>
      <c r="B150" s="21">
        <v>42497</v>
      </c>
      <c r="C150" s="22" t="s">
        <v>14</v>
      </c>
      <c r="D150" s="22">
        <v>6</v>
      </c>
      <c r="E150" s="22">
        <v>1510</v>
      </c>
      <c r="F150" s="22">
        <v>1.03999996185303</v>
      </c>
      <c r="G150" s="22">
        <v>0</v>
      </c>
      <c r="H150" s="22">
        <v>0</v>
      </c>
      <c r="I150" s="22">
        <v>48</v>
      </c>
      <c r="J150" s="23">
        <v>2229</v>
      </c>
    </row>
    <row r="151" spans="1:10" x14ac:dyDescent="0.3">
      <c r="A151" s="20">
        <v>1927972279</v>
      </c>
      <c r="B151" s="21">
        <v>42498</v>
      </c>
      <c r="C151" s="22" t="s">
        <v>15</v>
      </c>
      <c r="D151" s="22">
        <v>0</v>
      </c>
      <c r="E151" s="22">
        <v>0</v>
      </c>
      <c r="F151" s="22">
        <v>0</v>
      </c>
      <c r="G151" s="22">
        <v>0</v>
      </c>
      <c r="H151" s="22">
        <v>0</v>
      </c>
      <c r="I151" s="22">
        <v>0</v>
      </c>
      <c r="J151" s="23">
        <v>2063</v>
      </c>
    </row>
    <row r="152" spans="1:10" x14ac:dyDescent="0.3">
      <c r="A152" s="20">
        <v>1927972279</v>
      </c>
      <c r="B152" s="21">
        <v>42499</v>
      </c>
      <c r="C152" s="22" t="s">
        <v>16</v>
      </c>
      <c r="D152" s="22">
        <v>1</v>
      </c>
      <c r="E152" s="22">
        <v>0</v>
      </c>
      <c r="F152" s="22">
        <v>0</v>
      </c>
      <c r="G152" s="22">
        <v>0</v>
      </c>
      <c r="H152" s="22">
        <v>0</v>
      </c>
      <c r="I152" s="22">
        <v>0</v>
      </c>
      <c r="J152" s="23">
        <v>2063</v>
      </c>
    </row>
    <row r="153" spans="1:10" x14ac:dyDescent="0.3">
      <c r="A153" s="20">
        <v>1927972279</v>
      </c>
      <c r="B153" s="21">
        <v>42500</v>
      </c>
      <c r="C153" s="22" t="s">
        <v>10</v>
      </c>
      <c r="D153" s="22">
        <v>2</v>
      </c>
      <c r="E153" s="22">
        <v>0</v>
      </c>
      <c r="F153" s="22">
        <v>0</v>
      </c>
      <c r="G153" s="22">
        <v>0</v>
      </c>
      <c r="H153" s="22">
        <v>0</v>
      </c>
      <c r="I153" s="22">
        <v>0</v>
      </c>
      <c r="J153" s="23">
        <v>2063</v>
      </c>
    </row>
    <row r="154" spans="1:10" x14ac:dyDescent="0.3">
      <c r="A154" s="20">
        <v>1927972279</v>
      </c>
      <c r="B154" s="21">
        <v>42501</v>
      </c>
      <c r="C154" s="22" t="s">
        <v>11</v>
      </c>
      <c r="D154" s="22">
        <v>3</v>
      </c>
      <c r="E154" s="22">
        <v>0</v>
      </c>
      <c r="F154" s="22">
        <v>0</v>
      </c>
      <c r="G154" s="22">
        <v>0</v>
      </c>
      <c r="H154" s="22">
        <v>0</v>
      </c>
      <c r="I154" s="22">
        <v>0</v>
      </c>
      <c r="J154" s="23">
        <v>2063</v>
      </c>
    </row>
    <row r="155" spans="1:10" x14ac:dyDescent="0.3">
      <c r="A155" s="20">
        <v>1927972279</v>
      </c>
      <c r="B155" s="21">
        <v>42502</v>
      </c>
      <c r="C155" s="22" t="s">
        <v>12</v>
      </c>
      <c r="D155" s="22">
        <v>4</v>
      </c>
      <c r="E155" s="22">
        <v>0</v>
      </c>
      <c r="F155" s="22">
        <v>0</v>
      </c>
      <c r="G155" s="22">
        <v>0</v>
      </c>
      <c r="H155" s="22">
        <v>0</v>
      </c>
      <c r="I155" s="22">
        <v>0</v>
      </c>
      <c r="J155" s="23">
        <v>1383</v>
      </c>
    </row>
    <row r="156" spans="1:10" x14ac:dyDescent="0.3">
      <c r="A156" s="20">
        <v>2022484408</v>
      </c>
      <c r="B156" s="21">
        <v>42472</v>
      </c>
      <c r="C156" s="22" t="s">
        <v>10</v>
      </c>
      <c r="D156" s="22">
        <v>2</v>
      </c>
      <c r="E156" s="22">
        <v>11875</v>
      </c>
      <c r="F156" s="22">
        <v>8.3400001525878906</v>
      </c>
      <c r="G156" s="22">
        <v>42</v>
      </c>
      <c r="H156" s="22">
        <v>14</v>
      </c>
      <c r="I156" s="22">
        <v>227</v>
      </c>
      <c r="J156" s="23">
        <v>2390</v>
      </c>
    </row>
    <row r="157" spans="1:10" x14ac:dyDescent="0.3">
      <c r="A157" s="20">
        <v>2022484408</v>
      </c>
      <c r="B157" s="21">
        <v>42473</v>
      </c>
      <c r="C157" s="22" t="s">
        <v>11</v>
      </c>
      <c r="D157" s="22">
        <v>3</v>
      </c>
      <c r="E157" s="22">
        <v>12024</v>
      </c>
      <c r="F157" s="22">
        <v>8.5</v>
      </c>
      <c r="G157" s="22">
        <v>43</v>
      </c>
      <c r="H157" s="22">
        <v>5</v>
      </c>
      <c r="I157" s="22">
        <v>292</v>
      </c>
      <c r="J157" s="23">
        <v>2601</v>
      </c>
    </row>
    <row r="158" spans="1:10" x14ac:dyDescent="0.3">
      <c r="A158" s="20">
        <v>2022484408</v>
      </c>
      <c r="B158" s="21">
        <v>42474</v>
      </c>
      <c r="C158" s="22" t="s">
        <v>12</v>
      </c>
      <c r="D158" s="22">
        <v>4</v>
      </c>
      <c r="E158" s="22">
        <v>10690</v>
      </c>
      <c r="F158" s="22">
        <v>7.5</v>
      </c>
      <c r="G158" s="22">
        <v>32</v>
      </c>
      <c r="H158" s="22">
        <v>3</v>
      </c>
      <c r="I158" s="22">
        <v>257</v>
      </c>
      <c r="J158" s="23">
        <v>2312</v>
      </c>
    </row>
    <row r="159" spans="1:10" x14ac:dyDescent="0.3">
      <c r="A159" s="20">
        <v>2022484408</v>
      </c>
      <c r="B159" s="21">
        <v>42475</v>
      </c>
      <c r="C159" s="22" t="s">
        <v>13</v>
      </c>
      <c r="D159" s="22">
        <v>5</v>
      </c>
      <c r="E159" s="22">
        <v>11034</v>
      </c>
      <c r="F159" s="22">
        <v>8.0299997329711896</v>
      </c>
      <c r="G159" s="22">
        <v>27</v>
      </c>
      <c r="H159" s="22">
        <v>9</v>
      </c>
      <c r="I159" s="22">
        <v>282</v>
      </c>
      <c r="J159" s="23">
        <v>2525</v>
      </c>
    </row>
    <row r="160" spans="1:10" x14ac:dyDescent="0.3">
      <c r="A160" s="20">
        <v>2022484408</v>
      </c>
      <c r="B160" s="21">
        <v>42476</v>
      </c>
      <c r="C160" s="22" t="s">
        <v>14</v>
      </c>
      <c r="D160" s="22">
        <v>6</v>
      </c>
      <c r="E160" s="22">
        <v>10100</v>
      </c>
      <c r="F160" s="22">
        <v>7.0900001525878897</v>
      </c>
      <c r="G160" s="22">
        <v>41</v>
      </c>
      <c r="H160" s="22">
        <v>11</v>
      </c>
      <c r="I160" s="22">
        <v>151</v>
      </c>
      <c r="J160" s="23">
        <v>2177</v>
      </c>
    </row>
    <row r="161" spans="1:10" x14ac:dyDescent="0.3">
      <c r="A161" s="20">
        <v>2022484408</v>
      </c>
      <c r="B161" s="21">
        <v>42477</v>
      </c>
      <c r="C161" s="22" t="s">
        <v>15</v>
      </c>
      <c r="D161" s="22">
        <v>0</v>
      </c>
      <c r="E161" s="22">
        <v>15112</v>
      </c>
      <c r="F161" s="22">
        <v>11.3999996185303</v>
      </c>
      <c r="G161" s="22">
        <v>28</v>
      </c>
      <c r="H161" s="22">
        <v>29</v>
      </c>
      <c r="I161" s="22">
        <v>331</v>
      </c>
      <c r="J161" s="23">
        <v>2782</v>
      </c>
    </row>
    <row r="162" spans="1:10" x14ac:dyDescent="0.3">
      <c r="A162" s="20">
        <v>2022484408</v>
      </c>
      <c r="B162" s="21">
        <v>42478</v>
      </c>
      <c r="C162" s="22" t="s">
        <v>16</v>
      </c>
      <c r="D162" s="22">
        <v>1</v>
      </c>
      <c r="E162" s="22">
        <v>14131</v>
      </c>
      <c r="F162" s="22">
        <v>10.069999694824199</v>
      </c>
      <c r="G162" s="22">
        <v>48</v>
      </c>
      <c r="H162" s="22">
        <v>3</v>
      </c>
      <c r="I162" s="22">
        <v>311</v>
      </c>
      <c r="J162" s="23">
        <v>2770</v>
      </c>
    </row>
    <row r="163" spans="1:10" x14ac:dyDescent="0.3">
      <c r="A163" s="20">
        <v>2022484408</v>
      </c>
      <c r="B163" s="21">
        <v>42479</v>
      </c>
      <c r="C163" s="22" t="s">
        <v>10</v>
      </c>
      <c r="D163" s="22">
        <v>2</v>
      </c>
      <c r="E163" s="22">
        <v>11548</v>
      </c>
      <c r="F163" s="22">
        <v>8.5299997329711896</v>
      </c>
      <c r="G163" s="22">
        <v>31</v>
      </c>
      <c r="H163" s="22">
        <v>7</v>
      </c>
      <c r="I163" s="22">
        <v>250</v>
      </c>
      <c r="J163" s="23">
        <v>2489</v>
      </c>
    </row>
    <row r="164" spans="1:10" x14ac:dyDescent="0.3">
      <c r="A164" s="20">
        <v>2022484408</v>
      </c>
      <c r="B164" s="21">
        <v>42480</v>
      </c>
      <c r="C164" s="22" t="s">
        <v>11</v>
      </c>
      <c r="D164" s="22">
        <v>3</v>
      </c>
      <c r="E164" s="22">
        <v>15112</v>
      </c>
      <c r="F164" s="22">
        <v>10.670000076293899</v>
      </c>
      <c r="G164" s="22">
        <v>48</v>
      </c>
      <c r="H164" s="22">
        <v>63</v>
      </c>
      <c r="I164" s="22">
        <v>276</v>
      </c>
      <c r="J164" s="23">
        <v>2897</v>
      </c>
    </row>
    <row r="165" spans="1:10" x14ac:dyDescent="0.3">
      <c r="A165" s="20">
        <v>2022484408</v>
      </c>
      <c r="B165" s="21">
        <v>42481</v>
      </c>
      <c r="C165" s="22" t="s">
        <v>12</v>
      </c>
      <c r="D165" s="22">
        <v>4</v>
      </c>
      <c r="E165" s="22">
        <v>12453</v>
      </c>
      <c r="F165" s="22">
        <v>8.7399997711181605</v>
      </c>
      <c r="G165" s="22">
        <v>104</v>
      </c>
      <c r="H165" s="22">
        <v>53</v>
      </c>
      <c r="I165" s="22">
        <v>255</v>
      </c>
      <c r="J165" s="23">
        <v>3158</v>
      </c>
    </row>
    <row r="166" spans="1:10" x14ac:dyDescent="0.3">
      <c r="A166" s="20">
        <v>2022484408</v>
      </c>
      <c r="B166" s="21">
        <v>42482</v>
      </c>
      <c r="C166" s="22" t="s">
        <v>13</v>
      </c>
      <c r="D166" s="22">
        <v>5</v>
      </c>
      <c r="E166" s="22">
        <v>12954</v>
      </c>
      <c r="F166" s="22">
        <v>9.3299999237060494</v>
      </c>
      <c r="G166" s="22">
        <v>52</v>
      </c>
      <c r="H166" s="22">
        <v>10</v>
      </c>
      <c r="I166" s="22">
        <v>273</v>
      </c>
      <c r="J166" s="23">
        <v>2638</v>
      </c>
    </row>
    <row r="167" spans="1:10" x14ac:dyDescent="0.3">
      <c r="A167" s="20">
        <v>2022484408</v>
      </c>
      <c r="B167" s="21">
        <v>42483</v>
      </c>
      <c r="C167" s="22" t="s">
        <v>14</v>
      </c>
      <c r="D167" s="22">
        <v>6</v>
      </c>
      <c r="E167" s="22">
        <v>6001</v>
      </c>
      <c r="F167" s="22">
        <v>4.21000003814697</v>
      </c>
      <c r="G167" s="22">
        <v>0</v>
      </c>
      <c r="H167" s="22">
        <v>0</v>
      </c>
      <c r="I167" s="22">
        <v>249</v>
      </c>
      <c r="J167" s="23">
        <v>2069</v>
      </c>
    </row>
    <row r="168" spans="1:10" x14ac:dyDescent="0.3">
      <c r="A168" s="20">
        <v>2022484408</v>
      </c>
      <c r="B168" s="21">
        <v>42484</v>
      </c>
      <c r="C168" s="22" t="s">
        <v>15</v>
      </c>
      <c r="D168" s="22">
        <v>0</v>
      </c>
      <c r="E168" s="22">
        <v>13481</v>
      </c>
      <c r="F168" s="22">
        <v>10.2799997329712</v>
      </c>
      <c r="G168" s="22">
        <v>37</v>
      </c>
      <c r="H168" s="22">
        <v>26</v>
      </c>
      <c r="I168" s="22">
        <v>216</v>
      </c>
      <c r="J168" s="23">
        <v>2529</v>
      </c>
    </row>
    <row r="169" spans="1:10" x14ac:dyDescent="0.3">
      <c r="A169" s="20">
        <v>2022484408</v>
      </c>
      <c r="B169" s="21">
        <v>42485</v>
      </c>
      <c r="C169" s="22" t="s">
        <v>16</v>
      </c>
      <c r="D169" s="22">
        <v>1</v>
      </c>
      <c r="E169" s="22">
        <v>11369</v>
      </c>
      <c r="F169" s="22">
        <v>8.0100002288818395</v>
      </c>
      <c r="G169" s="22">
        <v>44</v>
      </c>
      <c r="H169" s="22">
        <v>8</v>
      </c>
      <c r="I169" s="22">
        <v>217</v>
      </c>
      <c r="J169" s="23">
        <v>2470</v>
      </c>
    </row>
    <row r="170" spans="1:10" x14ac:dyDescent="0.3">
      <c r="A170" s="20">
        <v>2022484408</v>
      </c>
      <c r="B170" s="21">
        <v>42486</v>
      </c>
      <c r="C170" s="22" t="s">
        <v>10</v>
      </c>
      <c r="D170" s="22">
        <v>2</v>
      </c>
      <c r="E170" s="22">
        <v>10119</v>
      </c>
      <c r="F170" s="22">
        <v>7.1900000572204599</v>
      </c>
      <c r="G170" s="22">
        <v>55</v>
      </c>
      <c r="H170" s="22">
        <v>24</v>
      </c>
      <c r="I170" s="22">
        <v>275</v>
      </c>
      <c r="J170" s="23">
        <v>2793</v>
      </c>
    </row>
    <row r="171" spans="1:10" x14ac:dyDescent="0.3">
      <c r="A171" s="20">
        <v>2022484408</v>
      </c>
      <c r="B171" s="21">
        <v>42487</v>
      </c>
      <c r="C171" s="22" t="s">
        <v>11</v>
      </c>
      <c r="D171" s="22">
        <v>3</v>
      </c>
      <c r="E171" s="22">
        <v>10159</v>
      </c>
      <c r="F171" s="22">
        <v>7.1300001144409197</v>
      </c>
      <c r="G171" s="22">
        <v>19</v>
      </c>
      <c r="H171" s="22">
        <v>20</v>
      </c>
      <c r="I171" s="22">
        <v>282</v>
      </c>
      <c r="J171" s="23">
        <v>2463</v>
      </c>
    </row>
    <row r="172" spans="1:10" x14ac:dyDescent="0.3">
      <c r="A172" s="20">
        <v>2022484408</v>
      </c>
      <c r="B172" s="21">
        <v>42488</v>
      </c>
      <c r="C172" s="22" t="s">
        <v>12</v>
      </c>
      <c r="D172" s="22">
        <v>4</v>
      </c>
      <c r="E172" s="22">
        <v>10140</v>
      </c>
      <c r="F172" s="22">
        <v>7.1199998855590803</v>
      </c>
      <c r="G172" s="22">
        <v>6</v>
      </c>
      <c r="H172" s="22">
        <v>20</v>
      </c>
      <c r="I172" s="22">
        <v>291</v>
      </c>
      <c r="J172" s="23">
        <v>2296</v>
      </c>
    </row>
    <row r="173" spans="1:10" x14ac:dyDescent="0.3">
      <c r="A173" s="20">
        <v>2022484408</v>
      </c>
      <c r="B173" s="21">
        <v>42489</v>
      </c>
      <c r="C173" s="22" t="s">
        <v>13</v>
      </c>
      <c r="D173" s="22">
        <v>5</v>
      </c>
      <c r="E173" s="22">
        <v>10245</v>
      </c>
      <c r="F173" s="22">
        <v>7.1900000572204599</v>
      </c>
      <c r="G173" s="22">
        <v>21</v>
      </c>
      <c r="H173" s="22">
        <v>40</v>
      </c>
      <c r="I173" s="22">
        <v>281</v>
      </c>
      <c r="J173" s="23">
        <v>2611</v>
      </c>
    </row>
    <row r="174" spans="1:10" x14ac:dyDescent="0.3">
      <c r="A174" s="20">
        <v>2022484408</v>
      </c>
      <c r="B174" s="21">
        <v>42490</v>
      </c>
      <c r="C174" s="22" t="s">
        <v>14</v>
      </c>
      <c r="D174" s="22">
        <v>6</v>
      </c>
      <c r="E174" s="22">
        <v>18387</v>
      </c>
      <c r="F174" s="22">
        <v>12.9099998474121</v>
      </c>
      <c r="G174" s="22">
        <v>13</v>
      </c>
      <c r="H174" s="22">
        <v>23</v>
      </c>
      <c r="I174" s="22">
        <v>361</v>
      </c>
      <c r="J174" s="23">
        <v>2732</v>
      </c>
    </row>
    <row r="175" spans="1:10" x14ac:dyDescent="0.3">
      <c r="A175" s="20">
        <v>2022484408</v>
      </c>
      <c r="B175" s="21">
        <v>42491</v>
      </c>
      <c r="C175" s="22" t="s">
        <v>15</v>
      </c>
      <c r="D175" s="22">
        <v>0</v>
      </c>
      <c r="E175" s="22">
        <v>10538</v>
      </c>
      <c r="F175" s="22">
        <v>7.4000000953674299</v>
      </c>
      <c r="G175" s="22">
        <v>25</v>
      </c>
      <c r="H175" s="22">
        <v>28</v>
      </c>
      <c r="I175" s="22">
        <v>245</v>
      </c>
      <c r="J175" s="23">
        <v>2380</v>
      </c>
    </row>
    <row r="176" spans="1:10" x14ac:dyDescent="0.3">
      <c r="A176" s="20">
        <v>2022484408</v>
      </c>
      <c r="B176" s="21">
        <v>42492</v>
      </c>
      <c r="C176" s="22" t="s">
        <v>16</v>
      </c>
      <c r="D176" s="22">
        <v>1</v>
      </c>
      <c r="E176" s="22">
        <v>10379</v>
      </c>
      <c r="F176" s="22">
        <v>7.28999996185303</v>
      </c>
      <c r="G176" s="22">
        <v>36</v>
      </c>
      <c r="H176" s="22">
        <v>8</v>
      </c>
      <c r="I176" s="22">
        <v>277</v>
      </c>
      <c r="J176" s="23">
        <v>2473</v>
      </c>
    </row>
    <row r="177" spans="1:10" x14ac:dyDescent="0.3">
      <c r="A177" s="20">
        <v>2022484408</v>
      </c>
      <c r="B177" s="21">
        <v>42493</v>
      </c>
      <c r="C177" s="22" t="s">
        <v>10</v>
      </c>
      <c r="D177" s="22">
        <v>2</v>
      </c>
      <c r="E177" s="22">
        <v>12183</v>
      </c>
      <c r="F177" s="22">
        <v>8.7399997711181605</v>
      </c>
      <c r="G177" s="22">
        <v>72</v>
      </c>
      <c r="H177" s="22">
        <v>14</v>
      </c>
      <c r="I177" s="22">
        <v>250</v>
      </c>
      <c r="J177" s="23">
        <v>2752</v>
      </c>
    </row>
    <row r="178" spans="1:10" x14ac:dyDescent="0.3">
      <c r="A178" s="20">
        <v>2022484408</v>
      </c>
      <c r="B178" s="21">
        <v>42494</v>
      </c>
      <c r="C178" s="22" t="s">
        <v>11</v>
      </c>
      <c r="D178" s="22">
        <v>3</v>
      </c>
      <c r="E178" s="22">
        <v>11768</v>
      </c>
      <c r="F178" s="22">
        <v>8.2899999618530291</v>
      </c>
      <c r="G178" s="22">
        <v>36</v>
      </c>
      <c r="H178" s="22">
        <v>27</v>
      </c>
      <c r="I178" s="22">
        <v>272</v>
      </c>
      <c r="J178" s="23">
        <v>2649</v>
      </c>
    </row>
    <row r="179" spans="1:10" x14ac:dyDescent="0.3">
      <c r="A179" s="20">
        <v>2022484408</v>
      </c>
      <c r="B179" s="21">
        <v>42495</v>
      </c>
      <c r="C179" s="22" t="s">
        <v>12</v>
      </c>
      <c r="D179" s="22">
        <v>4</v>
      </c>
      <c r="E179" s="22">
        <v>11895</v>
      </c>
      <c r="F179" s="22">
        <v>8.3500003814697301</v>
      </c>
      <c r="G179" s="22">
        <v>55</v>
      </c>
      <c r="H179" s="22">
        <v>20</v>
      </c>
      <c r="I179" s="22">
        <v>253</v>
      </c>
      <c r="J179" s="23">
        <v>2609</v>
      </c>
    </row>
    <row r="180" spans="1:10" x14ac:dyDescent="0.3">
      <c r="A180" s="20">
        <v>2022484408</v>
      </c>
      <c r="B180" s="21">
        <v>42496</v>
      </c>
      <c r="C180" s="22" t="s">
        <v>13</v>
      </c>
      <c r="D180" s="22">
        <v>5</v>
      </c>
      <c r="E180" s="22">
        <v>10227</v>
      </c>
      <c r="F180" s="22">
        <v>7.1799998283386204</v>
      </c>
      <c r="G180" s="22">
        <v>24</v>
      </c>
      <c r="H180" s="22">
        <v>17</v>
      </c>
      <c r="I180" s="22">
        <v>295</v>
      </c>
      <c r="J180" s="23">
        <v>2498</v>
      </c>
    </row>
    <row r="181" spans="1:10" x14ac:dyDescent="0.3">
      <c r="A181" s="20">
        <v>2022484408</v>
      </c>
      <c r="B181" s="21">
        <v>42497</v>
      </c>
      <c r="C181" s="22" t="s">
        <v>14</v>
      </c>
      <c r="D181" s="22">
        <v>6</v>
      </c>
      <c r="E181" s="22">
        <v>6708</v>
      </c>
      <c r="F181" s="22">
        <v>4.71000003814697</v>
      </c>
      <c r="G181" s="22">
        <v>20</v>
      </c>
      <c r="H181" s="22">
        <v>2</v>
      </c>
      <c r="I181" s="22">
        <v>149</v>
      </c>
      <c r="J181" s="23">
        <v>1995</v>
      </c>
    </row>
    <row r="182" spans="1:10" x14ac:dyDescent="0.3">
      <c r="A182" s="20">
        <v>2022484408</v>
      </c>
      <c r="B182" s="21">
        <v>42498</v>
      </c>
      <c r="C182" s="22" t="s">
        <v>15</v>
      </c>
      <c r="D182" s="22">
        <v>0</v>
      </c>
      <c r="E182" s="22">
        <v>3292</v>
      </c>
      <c r="F182" s="22">
        <v>2.3099999427795401</v>
      </c>
      <c r="G182" s="22">
        <v>0</v>
      </c>
      <c r="H182" s="22">
        <v>0</v>
      </c>
      <c r="I182" s="22">
        <v>135</v>
      </c>
      <c r="J182" s="23">
        <v>1848</v>
      </c>
    </row>
    <row r="183" spans="1:10" x14ac:dyDescent="0.3">
      <c r="A183" s="20">
        <v>2022484408</v>
      </c>
      <c r="B183" s="21">
        <v>42499</v>
      </c>
      <c r="C183" s="22" t="s">
        <v>16</v>
      </c>
      <c r="D183" s="22">
        <v>1</v>
      </c>
      <c r="E183" s="22">
        <v>13379</v>
      </c>
      <c r="F183" s="22">
        <v>9.3900003433227504</v>
      </c>
      <c r="G183" s="22">
        <v>35</v>
      </c>
      <c r="H183" s="22">
        <v>47</v>
      </c>
      <c r="I183" s="22">
        <v>297</v>
      </c>
      <c r="J183" s="23">
        <v>2709</v>
      </c>
    </row>
    <row r="184" spans="1:10" x14ac:dyDescent="0.3">
      <c r="A184" s="20">
        <v>2022484408</v>
      </c>
      <c r="B184" s="21">
        <v>42500</v>
      </c>
      <c r="C184" s="22" t="s">
        <v>10</v>
      </c>
      <c r="D184" s="22">
        <v>2</v>
      </c>
      <c r="E184" s="22">
        <v>12798</v>
      </c>
      <c r="F184" s="22">
        <v>8.9799995422363299</v>
      </c>
      <c r="G184" s="22">
        <v>57</v>
      </c>
      <c r="H184" s="22">
        <v>28</v>
      </c>
      <c r="I184" s="22">
        <v>271</v>
      </c>
      <c r="J184" s="23">
        <v>2797</v>
      </c>
    </row>
    <row r="185" spans="1:10" x14ac:dyDescent="0.3">
      <c r="A185" s="20">
        <v>2022484408</v>
      </c>
      <c r="B185" s="21">
        <v>42501</v>
      </c>
      <c r="C185" s="22" t="s">
        <v>11</v>
      </c>
      <c r="D185" s="22">
        <v>3</v>
      </c>
      <c r="E185" s="22">
        <v>13272</v>
      </c>
      <c r="F185" s="22">
        <v>9.3199996948242205</v>
      </c>
      <c r="G185" s="22">
        <v>58</v>
      </c>
      <c r="H185" s="22">
        <v>25</v>
      </c>
      <c r="I185" s="22">
        <v>224</v>
      </c>
      <c r="J185" s="23">
        <v>2544</v>
      </c>
    </row>
    <row r="186" spans="1:10" x14ac:dyDescent="0.3">
      <c r="A186" s="20">
        <v>2022484408</v>
      </c>
      <c r="B186" s="21">
        <v>42502</v>
      </c>
      <c r="C186" s="22" t="s">
        <v>12</v>
      </c>
      <c r="D186" s="22">
        <v>4</v>
      </c>
      <c r="E186" s="22">
        <v>9117</v>
      </c>
      <c r="F186" s="22">
        <v>6.4099998474121103</v>
      </c>
      <c r="G186" s="22">
        <v>16</v>
      </c>
      <c r="H186" s="22">
        <v>16</v>
      </c>
      <c r="I186" s="22">
        <v>236</v>
      </c>
      <c r="J186" s="23">
        <v>1853</v>
      </c>
    </row>
    <row r="187" spans="1:10" x14ac:dyDescent="0.3">
      <c r="A187" s="20">
        <v>2026352035</v>
      </c>
      <c r="B187" s="21">
        <v>42472</v>
      </c>
      <c r="C187" s="22" t="s">
        <v>10</v>
      </c>
      <c r="D187" s="22">
        <v>2</v>
      </c>
      <c r="E187" s="22">
        <v>4414</v>
      </c>
      <c r="F187" s="22">
        <v>2.7400000095367401</v>
      </c>
      <c r="G187" s="22">
        <v>3</v>
      </c>
      <c r="H187" s="22">
        <v>8</v>
      </c>
      <c r="I187" s="22">
        <v>181</v>
      </c>
      <c r="J187" s="23">
        <v>1459</v>
      </c>
    </row>
    <row r="188" spans="1:10" x14ac:dyDescent="0.3">
      <c r="A188" s="20">
        <v>2026352035</v>
      </c>
      <c r="B188" s="21">
        <v>42473</v>
      </c>
      <c r="C188" s="22" t="s">
        <v>11</v>
      </c>
      <c r="D188" s="22">
        <v>3</v>
      </c>
      <c r="E188" s="22">
        <v>4993</v>
      </c>
      <c r="F188" s="22">
        <v>3.0999999046325701</v>
      </c>
      <c r="G188" s="22">
        <v>0</v>
      </c>
      <c r="H188" s="22">
        <v>0</v>
      </c>
      <c r="I188" s="22">
        <v>238</v>
      </c>
      <c r="J188" s="23">
        <v>1521</v>
      </c>
    </row>
    <row r="189" spans="1:10" x14ac:dyDescent="0.3">
      <c r="A189" s="20">
        <v>2026352035</v>
      </c>
      <c r="B189" s="21">
        <v>42474</v>
      </c>
      <c r="C189" s="22" t="s">
        <v>12</v>
      </c>
      <c r="D189" s="22">
        <v>4</v>
      </c>
      <c r="E189" s="22">
        <v>3335</v>
      </c>
      <c r="F189" s="22">
        <v>2.0699999332428001</v>
      </c>
      <c r="G189" s="22">
        <v>0</v>
      </c>
      <c r="H189" s="22">
        <v>0</v>
      </c>
      <c r="I189" s="22">
        <v>197</v>
      </c>
      <c r="J189" s="23">
        <v>1431</v>
      </c>
    </row>
    <row r="190" spans="1:10" x14ac:dyDescent="0.3">
      <c r="A190" s="20">
        <v>2026352035</v>
      </c>
      <c r="B190" s="21">
        <v>42475</v>
      </c>
      <c r="C190" s="22" t="s">
        <v>13</v>
      </c>
      <c r="D190" s="22">
        <v>5</v>
      </c>
      <c r="E190" s="22">
        <v>3821</v>
      </c>
      <c r="F190" s="22">
        <v>2.3699998855590798</v>
      </c>
      <c r="G190" s="22">
        <v>0</v>
      </c>
      <c r="H190" s="22">
        <v>0</v>
      </c>
      <c r="I190" s="22">
        <v>188</v>
      </c>
      <c r="J190" s="23">
        <v>1444</v>
      </c>
    </row>
    <row r="191" spans="1:10" x14ac:dyDescent="0.3">
      <c r="A191" s="20">
        <v>2026352035</v>
      </c>
      <c r="B191" s="21">
        <v>42476</v>
      </c>
      <c r="C191" s="22" t="s">
        <v>14</v>
      </c>
      <c r="D191" s="22">
        <v>6</v>
      </c>
      <c r="E191" s="22">
        <v>2547</v>
      </c>
      <c r="F191" s="22">
        <v>1.58000004291534</v>
      </c>
      <c r="G191" s="22">
        <v>0</v>
      </c>
      <c r="H191" s="22">
        <v>0</v>
      </c>
      <c r="I191" s="22">
        <v>150</v>
      </c>
      <c r="J191" s="23">
        <v>1373</v>
      </c>
    </row>
    <row r="192" spans="1:10" x14ac:dyDescent="0.3">
      <c r="A192" s="20">
        <v>2026352035</v>
      </c>
      <c r="B192" s="21">
        <v>42477</v>
      </c>
      <c r="C192" s="22" t="s">
        <v>15</v>
      </c>
      <c r="D192" s="22">
        <v>0</v>
      </c>
      <c r="E192" s="22">
        <v>838</v>
      </c>
      <c r="F192" s="22">
        <v>0.519999980926514</v>
      </c>
      <c r="G192" s="22">
        <v>0</v>
      </c>
      <c r="H192" s="22">
        <v>0</v>
      </c>
      <c r="I192" s="22">
        <v>60</v>
      </c>
      <c r="J192" s="23">
        <v>1214</v>
      </c>
    </row>
    <row r="193" spans="1:10" x14ac:dyDescent="0.3">
      <c r="A193" s="20">
        <v>2026352035</v>
      </c>
      <c r="B193" s="21">
        <v>42478</v>
      </c>
      <c r="C193" s="22" t="s">
        <v>16</v>
      </c>
      <c r="D193" s="22">
        <v>1</v>
      </c>
      <c r="E193" s="22">
        <v>3325</v>
      </c>
      <c r="F193" s="22">
        <v>2.0599999427795401</v>
      </c>
      <c r="G193" s="22">
        <v>0</v>
      </c>
      <c r="H193" s="22">
        <v>0</v>
      </c>
      <c r="I193" s="22">
        <v>182</v>
      </c>
      <c r="J193" s="23">
        <v>1419</v>
      </c>
    </row>
    <row r="194" spans="1:10" x14ac:dyDescent="0.3">
      <c r="A194" s="20">
        <v>2026352035</v>
      </c>
      <c r="B194" s="21">
        <v>42479</v>
      </c>
      <c r="C194" s="22" t="s">
        <v>10</v>
      </c>
      <c r="D194" s="22">
        <v>2</v>
      </c>
      <c r="E194" s="22">
        <v>2424</v>
      </c>
      <c r="F194" s="22">
        <v>1.5</v>
      </c>
      <c r="G194" s="22">
        <v>0</v>
      </c>
      <c r="H194" s="22">
        <v>0</v>
      </c>
      <c r="I194" s="22">
        <v>141</v>
      </c>
      <c r="J194" s="23">
        <v>1356</v>
      </c>
    </row>
    <row r="195" spans="1:10" x14ac:dyDescent="0.3">
      <c r="A195" s="20">
        <v>2026352035</v>
      </c>
      <c r="B195" s="21">
        <v>42480</v>
      </c>
      <c r="C195" s="22" t="s">
        <v>11</v>
      </c>
      <c r="D195" s="22">
        <v>3</v>
      </c>
      <c r="E195" s="22">
        <v>7222</v>
      </c>
      <c r="F195" s="22">
        <v>4.4800000190734899</v>
      </c>
      <c r="G195" s="22">
        <v>0</v>
      </c>
      <c r="H195" s="22">
        <v>0</v>
      </c>
      <c r="I195" s="22">
        <v>327</v>
      </c>
      <c r="J195" s="23">
        <v>1667</v>
      </c>
    </row>
    <row r="196" spans="1:10" x14ac:dyDescent="0.3">
      <c r="A196" s="20">
        <v>2026352035</v>
      </c>
      <c r="B196" s="21">
        <v>42481</v>
      </c>
      <c r="C196" s="22" t="s">
        <v>12</v>
      </c>
      <c r="D196" s="22">
        <v>4</v>
      </c>
      <c r="E196" s="22">
        <v>2467</v>
      </c>
      <c r="F196" s="22">
        <v>1.5299999713897701</v>
      </c>
      <c r="G196" s="22">
        <v>0</v>
      </c>
      <c r="H196" s="22">
        <v>0</v>
      </c>
      <c r="I196" s="22">
        <v>153</v>
      </c>
      <c r="J196" s="23">
        <v>1370</v>
      </c>
    </row>
    <row r="197" spans="1:10" x14ac:dyDescent="0.3">
      <c r="A197" s="20">
        <v>2026352035</v>
      </c>
      <c r="B197" s="21">
        <v>42482</v>
      </c>
      <c r="C197" s="22" t="s">
        <v>13</v>
      </c>
      <c r="D197" s="22">
        <v>5</v>
      </c>
      <c r="E197" s="22">
        <v>2915</v>
      </c>
      <c r="F197" s="22">
        <v>1.8099999427795399</v>
      </c>
      <c r="G197" s="22">
        <v>0</v>
      </c>
      <c r="H197" s="22">
        <v>0</v>
      </c>
      <c r="I197" s="22">
        <v>162</v>
      </c>
      <c r="J197" s="23">
        <v>1399</v>
      </c>
    </row>
    <row r="198" spans="1:10" x14ac:dyDescent="0.3">
      <c r="A198" s="20">
        <v>2026352035</v>
      </c>
      <c r="B198" s="21">
        <v>42483</v>
      </c>
      <c r="C198" s="22" t="s">
        <v>14</v>
      </c>
      <c r="D198" s="22">
        <v>6</v>
      </c>
      <c r="E198" s="22">
        <v>12357</v>
      </c>
      <c r="F198" s="22">
        <v>7.71000003814697</v>
      </c>
      <c r="G198" s="22">
        <v>0</v>
      </c>
      <c r="H198" s="22">
        <v>0</v>
      </c>
      <c r="I198" s="22">
        <v>432</v>
      </c>
      <c r="J198" s="23">
        <v>1916</v>
      </c>
    </row>
    <row r="199" spans="1:10" x14ac:dyDescent="0.3">
      <c r="A199" s="20">
        <v>2026352035</v>
      </c>
      <c r="B199" s="21">
        <v>42484</v>
      </c>
      <c r="C199" s="22" t="s">
        <v>15</v>
      </c>
      <c r="D199" s="22">
        <v>0</v>
      </c>
      <c r="E199" s="22">
        <v>3490</v>
      </c>
      <c r="F199" s="22">
        <v>2.1600000858306898</v>
      </c>
      <c r="G199" s="22">
        <v>0</v>
      </c>
      <c r="H199" s="22">
        <v>0</v>
      </c>
      <c r="I199" s="22">
        <v>164</v>
      </c>
      <c r="J199" s="23">
        <v>1401</v>
      </c>
    </row>
    <row r="200" spans="1:10" x14ac:dyDescent="0.3">
      <c r="A200" s="20">
        <v>2026352035</v>
      </c>
      <c r="B200" s="21">
        <v>42485</v>
      </c>
      <c r="C200" s="22" t="s">
        <v>16</v>
      </c>
      <c r="D200" s="22">
        <v>1</v>
      </c>
      <c r="E200" s="22">
        <v>6017</v>
      </c>
      <c r="F200" s="22">
        <v>3.7300000190734899</v>
      </c>
      <c r="G200" s="22">
        <v>0</v>
      </c>
      <c r="H200" s="22">
        <v>0</v>
      </c>
      <c r="I200" s="22">
        <v>260</v>
      </c>
      <c r="J200" s="23">
        <v>1576</v>
      </c>
    </row>
    <row r="201" spans="1:10" x14ac:dyDescent="0.3">
      <c r="A201" s="20">
        <v>2026352035</v>
      </c>
      <c r="B201" s="21">
        <v>42486</v>
      </c>
      <c r="C201" s="22" t="s">
        <v>10</v>
      </c>
      <c r="D201" s="22">
        <v>2</v>
      </c>
      <c r="E201" s="22">
        <v>5933</v>
      </c>
      <c r="F201" s="22">
        <v>3.6800000667571999</v>
      </c>
      <c r="G201" s="22">
        <v>0</v>
      </c>
      <c r="H201" s="22">
        <v>0</v>
      </c>
      <c r="I201" s="22">
        <v>288</v>
      </c>
      <c r="J201" s="23">
        <v>1595</v>
      </c>
    </row>
    <row r="202" spans="1:10" x14ac:dyDescent="0.3">
      <c r="A202" s="20">
        <v>2026352035</v>
      </c>
      <c r="B202" s="21">
        <v>42487</v>
      </c>
      <c r="C202" s="22" t="s">
        <v>11</v>
      </c>
      <c r="D202" s="22">
        <v>3</v>
      </c>
      <c r="E202" s="22">
        <v>6088</v>
      </c>
      <c r="F202" s="22">
        <v>3.7699999809265101</v>
      </c>
      <c r="G202" s="22">
        <v>0</v>
      </c>
      <c r="H202" s="22">
        <v>0</v>
      </c>
      <c r="I202" s="22">
        <v>286</v>
      </c>
      <c r="J202" s="23">
        <v>1593</v>
      </c>
    </row>
    <row r="203" spans="1:10" x14ac:dyDescent="0.3">
      <c r="A203" s="20">
        <v>2026352035</v>
      </c>
      <c r="B203" s="21">
        <v>42488</v>
      </c>
      <c r="C203" s="22" t="s">
        <v>12</v>
      </c>
      <c r="D203" s="22">
        <v>4</v>
      </c>
      <c r="E203" s="22">
        <v>6375</v>
      </c>
      <c r="F203" s="22">
        <v>3.9500000476837198</v>
      </c>
      <c r="G203" s="22">
        <v>0</v>
      </c>
      <c r="H203" s="22">
        <v>0</v>
      </c>
      <c r="I203" s="22">
        <v>331</v>
      </c>
      <c r="J203" s="23">
        <v>1649</v>
      </c>
    </row>
    <row r="204" spans="1:10" x14ac:dyDescent="0.3">
      <c r="A204" s="20">
        <v>2026352035</v>
      </c>
      <c r="B204" s="21">
        <v>42489</v>
      </c>
      <c r="C204" s="22" t="s">
        <v>13</v>
      </c>
      <c r="D204" s="22">
        <v>5</v>
      </c>
      <c r="E204" s="22">
        <v>7604</v>
      </c>
      <c r="F204" s="22">
        <v>4.71000003814697</v>
      </c>
      <c r="G204" s="22">
        <v>0</v>
      </c>
      <c r="H204" s="22">
        <v>0</v>
      </c>
      <c r="I204" s="22">
        <v>352</v>
      </c>
      <c r="J204" s="23">
        <v>1692</v>
      </c>
    </row>
    <row r="205" spans="1:10" x14ac:dyDescent="0.3">
      <c r="A205" s="20">
        <v>2026352035</v>
      </c>
      <c r="B205" s="21">
        <v>42490</v>
      </c>
      <c r="C205" s="22" t="s">
        <v>14</v>
      </c>
      <c r="D205" s="22">
        <v>6</v>
      </c>
      <c r="E205" s="22">
        <v>4729</v>
      </c>
      <c r="F205" s="22">
        <v>2.9300000667571999</v>
      </c>
      <c r="G205" s="22">
        <v>0</v>
      </c>
      <c r="H205" s="22">
        <v>0</v>
      </c>
      <c r="I205" s="22">
        <v>233</v>
      </c>
      <c r="J205" s="23">
        <v>1506</v>
      </c>
    </row>
    <row r="206" spans="1:10" x14ac:dyDescent="0.3">
      <c r="A206" s="20">
        <v>2026352035</v>
      </c>
      <c r="B206" s="21">
        <v>42491</v>
      </c>
      <c r="C206" s="22" t="s">
        <v>15</v>
      </c>
      <c r="D206" s="22">
        <v>0</v>
      </c>
      <c r="E206" s="22">
        <v>3609</v>
      </c>
      <c r="F206" s="22">
        <v>2.2799999713897701</v>
      </c>
      <c r="G206" s="22">
        <v>0</v>
      </c>
      <c r="H206" s="22">
        <v>0</v>
      </c>
      <c r="I206" s="22">
        <v>191</v>
      </c>
      <c r="J206" s="23">
        <v>1447</v>
      </c>
    </row>
    <row r="207" spans="1:10" x14ac:dyDescent="0.3">
      <c r="A207" s="20">
        <v>2026352035</v>
      </c>
      <c r="B207" s="21">
        <v>42492</v>
      </c>
      <c r="C207" s="22" t="s">
        <v>16</v>
      </c>
      <c r="D207" s="22">
        <v>1</v>
      </c>
      <c r="E207" s="22">
        <v>7018</v>
      </c>
      <c r="F207" s="22">
        <v>4.3499999046325701</v>
      </c>
      <c r="G207" s="22">
        <v>0</v>
      </c>
      <c r="H207" s="22">
        <v>0</v>
      </c>
      <c r="I207" s="22">
        <v>355</v>
      </c>
      <c r="J207" s="23">
        <v>1690</v>
      </c>
    </row>
    <row r="208" spans="1:10" x14ac:dyDescent="0.3">
      <c r="A208" s="20">
        <v>2026352035</v>
      </c>
      <c r="B208" s="21">
        <v>42493</v>
      </c>
      <c r="C208" s="22" t="s">
        <v>10</v>
      </c>
      <c r="D208" s="22">
        <v>2</v>
      </c>
      <c r="E208" s="22">
        <v>5992</v>
      </c>
      <c r="F208" s="22">
        <v>3.7200000286102299</v>
      </c>
      <c r="G208" s="22">
        <v>0</v>
      </c>
      <c r="H208" s="22">
        <v>0</v>
      </c>
      <c r="I208" s="22">
        <v>304</v>
      </c>
      <c r="J208" s="23">
        <v>1604</v>
      </c>
    </row>
    <row r="209" spans="1:10" x14ac:dyDescent="0.3">
      <c r="A209" s="20">
        <v>2026352035</v>
      </c>
      <c r="B209" s="21">
        <v>42494</v>
      </c>
      <c r="C209" s="22" t="s">
        <v>11</v>
      </c>
      <c r="D209" s="22">
        <v>3</v>
      </c>
      <c r="E209" s="22">
        <v>6564</v>
      </c>
      <c r="F209" s="22">
        <v>4.0700001716613796</v>
      </c>
      <c r="G209" s="22">
        <v>0</v>
      </c>
      <c r="H209" s="22">
        <v>0</v>
      </c>
      <c r="I209" s="22">
        <v>345</v>
      </c>
      <c r="J209" s="23">
        <v>1658</v>
      </c>
    </row>
    <row r="210" spans="1:10" x14ac:dyDescent="0.3">
      <c r="A210" s="20">
        <v>2026352035</v>
      </c>
      <c r="B210" s="21">
        <v>42495</v>
      </c>
      <c r="C210" s="22" t="s">
        <v>12</v>
      </c>
      <c r="D210" s="22">
        <v>4</v>
      </c>
      <c r="E210" s="22">
        <v>12167</v>
      </c>
      <c r="F210" s="22">
        <v>7.53999996185303</v>
      </c>
      <c r="G210" s="22">
        <v>0</v>
      </c>
      <c r="H210" s="22">
        <v>0</v>
      </c>
      <c r="I210" s="22">
        <v>475</v>
      </c>
      <c r="J210" s="23">
        <v>1926</v>
      </c>
    </row>
    <row r="211" spans="1:10" x14ac:dyDescent="0.3">
      <c r="A211" s="20">
        <v>2026352035</v>
      </c>
      <c r="B211" s="21">
        <v>42496</v>
      </c>
      <c r="C211" s="22" t="s">
        <v>13</v>
      </c>
      <c r="D211" s="22">
        <v>5</v>
      </c>
      <c r="E211" s="22">
        <v>8198</v>
      </c>
      <c r="F211" s="22">
        <v>5.0799999237060502</v>
      </c>
      <c r="G211" s="22">
        <v>0</v>
      </c>
      <c r="H211" s="22">
        <v>0</v>
      </c>
      <c r="I211" s="22">
        <v>383</v>
      </c>
      <c r="J211" s="23">
        <v>1736</v>
      </c>
    </row>
    <row r="212" spans="1:10" x14ac:dyDescent="0.3">
      <c r="A212" s="20">
        <v>2026352035</v>
      </c>
      <c r="B212" s="21">
        <v>42497</v>
      </c>
      <c r="C212" s="22" t="s">
        <v>14</v>
      </c>
      <c r="D212" s="22">
        <v>6</v>
      </c>
      <c r="E212" s="22">
        <v>4193</v>
      </c>
      <c r="F212" s="22">
        <v>2.5999999046325701</v>
      </c>
      <c r="G212" s="22">
        <v>0</v>
      </c>
      <c r="H212" s="22">
        <v>0</v>
      </c>
      <c r="I212" s="22">
        <v>229</v>
      </c>
      <c r="J212" s="23">
        <v>1491</v>
      </c>
    </row>
    <row r="213" spans="1:10" x14ac:dyDescent="0.3">
      <c r="A213" s="20">
        <v>2026352035</v>
      </c>
      <c r="B213" s="21">
        <v>42498</v>
      </c>
      <c r="C213" s="22" t="s">
        <v>15</v>
      </c>
      <c r="D213" s="22">
        <v>0</v>
      </c>
      <c r="E213" s="22">
        <v>5528</v>
      </c>
      <c r="F213" s="22">
        <v>3.4500000476837198</v>
      </c>
      <c r="G213" s="22">
        <v>0</v>
      </c>
      <c r="H213" s="22">
        <v>0</v>
      </c>
      <c r="I213" s="22">
        <v>258</v>
      </c>
      <c r="J213" s="23">
        <v>1555</v>
      </c>
    </row>
    <row r="214" spans="1:10" x14ac:dyDescent="0.3">
      <c r="A214" s="20">
        <v>2026352035</v>
      </c>
      <c r="B214" s="21">
        <v>42499</v>
      </c>
      <c r="C214" s="22" t="s">
        <v>16</v>
      </c>
      <c r="D214" s="22">
        <v>1</v>
      </c>
      <c r="E214" s="22">
        <v>10685</v>
      </c>
      <c r="F214" s="22">
        <v>6.6199998855590803</v>
      </c>
      <c r="G214" s="22">
        <v>0</v>
      </c>
      <c r="H214" s="22">
        <v>0</v>
      </c>
      <c r="I214" s="22">
        <v>401</v>
      </c>
      <c r="J214" s="23">
        <v>1869</v>
      </c>
    </row>
    <row r="215" spans="1:10" x14ac:dyDescent="0.3">
      <c r="A215" s="20">
        <v>2026352035</v>
      </c>
      <c r="B215" s="21">
        <v>42500</v>
      </c>
      <c r="C215" s="22" t="s">
        <v>10</v>
      </c>
      <c r="D215" s="22">
        <v>2</v>
      </c>
      <c r="E215" s="22">
        <v>254</v>
      </c>
      <c r="F215" s="22">
        <v>0.15999999642372101</v>
      </c>
      <c r="G215" s="22">
        <v>0</v>
      </c>
      <c r="H215" s="22">
        <v>0</v>
      </c>
      <c r="I215" s="22">
        <v>17</v>
      </c>
      <c r="J215" s="23">
        <v>1141</v>
      </c>
    </row>
    <row r="216" spans="1:10" x14ac:dyDescent="0.3">
      <c r="A216" s="20">
        <v>2026352035</v>
      </c>
      <c r="B216" s="21">
        <v>42501</v>
      </c>
      <c r="C216" s="22" t="s">
        <v>11</v>
      </c>
      <c r="D216" s="22">
        <v>3</v>
      </c>
      <c r="E216" s="22">
        <v>8580</v>
      </c>
      <c r="F216" s="22">
        <v>5.3200001716613796</v>
      </c>
      <c r="G216" s="22">
        <v>0</v>
      </c>
      <c r="H216" s="22">
        <v>0</v>
      </c>
      <c r="I216" s="22">
        <v>330</v>
      </c>
      <c r="J216" s="23">
        <v>1698</v>
      </c>
    </row>
    <row r="217" spans="1:10" x14ac:dyDescent="0.3">
      <c r="A217" s="20">
        <v>2026352035</v>
      </c>
      <c r="B217" s="21">
        <v>42502</v>
      </c>
      <c r="C217" s="22" t="s">
        <v>12</v>
      </c>
      <c r="D217" s="22">
        <v>4</v>
      </c>
      <c r="E217" s="22">
        <v>8891</v>
      </c>
      <c r="F217" s="22">
        <v>5.5100002288818404</v>
      </c>
      <c r="G217" s="22">
        <v>0</v>
      </c>
      <c r="H217" s="22">
        <v>0</v>
      </c>
      <c r="I217" s="22">
        <v>343</v>
      </c>
      <c r="J217" s="23">
        <v>1364</v>
      </c>
    </row>
    <row r="218" spans="1:10" x14ac:dyDescent="0.3">
      <c r="A218" s="20">
        <v>2320127002</v>
      </c>
      <c r="B218" s="21">
        <v>42472</v>
      </c>
      <c r="C218" s="22" t="s">
        <v>10</v>
      </c>
      <c r="D218" s="22">
        <v>2</v>
      </c>
      <c r="E218" s="22">
        <v>10725</v>
      </c>
      <c r="F218" s="22">
        <v>7.4899997711181596</v>
      </c>
      <c r="G218" s="22">
        <v>13</v>
      </c>
      <c r="H218" s="22">
        <v>9</v>
      </c>
      <c r="I218" s="22">
        <v>306</v>
      </c>
      <c r="J218" s="23">
        <v>2124</v>
      </c>
    </row>
    <row r="219" spans="1:10" x14ac:dyDescent="0.3">
      <c r="A219" s="20">
        <v>2320127002</v>
      </c>
      <c r="B219" s="21">
        <v>42473</v>
      </c>
      <c r="C219" s="22" t="s">
        <v>11</v>
      </c>
      <c r="D219" s="22">
        <v>3</v>
      </c>
      <c r="E219" s="22">
        <v>7275</v>
      </c>
      <c r="F219" s="22">
        <v>4.9000000953674299</v>
      </c>
      <c r="G219" s="22">
        <v>0</v>
      </c>
      <c r="H219" s="22">
        <v>0</v>
      </c>
      <c r="I219" s="22">
        <v>335</v>
      </c>
      <c r="J219" s="23">
        <v>2003</v>
      </c>
    </row>
    <row r="220" spans="1:10" x14ac:dyDescent="0.3">
      <c r="A220" s="20">
        <v>2320127002</v>
      </c>
      <c r="B220" s="21">
        <v>42474</v>
      </c>
      <c r="C220" s="22" t="s">
        <v>12</v>
      </c>
      <c r="D220" s="22">
        <v>4</v>
      </c>
      <c r="E220" s="22">
        <v>3973</v>
      </c>
      <c r="F220" s="22">
        <v>2.6800000667571999</v>
      </c>
      <c r="G220" s="22">
        <v>0</v>
      </c>
      <c r="H220" s="22">
        <v>0</v>
      </c>
      <c r="I220" s="22">
        <v>191</v>
      </c>
      <c r="J220" s="23">
        <v>1696</v>
      </c>
    </row>
    <row r="221" spans="1:10" x14ac:dyDescent="0.3">
      <c r="A221" s="20">
        <v>2320127002</v>
      </c>
      <c r="B221" s="21">
        <v>42475</v>
      </c>
      <c r="C221" s="22" t="s">
        <v>13</v>
      </c>
      <c r="D221" s="22">
        <v>5</v>
      </c>
      <c r="E221" s="22">
        <v>5205</v>
      </c>
      <c r="F221" s="22">
        <v>3.5099999904632599</v>
      </c>
      <c r="G221" s="22">
        <v>0</v>
      </c>
      <c r="H221" s="22">
        <v>0</v>
      </c>
      <c r="I221" s="22">
        <v>245</v>
      </c>
      <c r="J221" s="23">
        <v>1801</v>
      </c>
    </row>
    <row r="222" spans="1:10" x14ac:dyDescent="0.3">
      <c r="A222" s="20">
        <v>2320127002</v>
      </c>
      <c r="B222" s="21">
        <v>42476</v>
      </c>
      <c r="C222" s="22" t="s">
        <v>14</v>
      </c>
      <c r="D222" s="22">
        <v>6</v>
      </c>
      <c r="E222" s="22">
        <v>5057</v>
      </c>
      <c r="F222" s="22">
        <v>3.4100000858306898</v>
      </c>
      <c r="G222" s="22">
        <v>0</v>
      </c>
      <c r="H222" s="22">
        <v>0</v>
      </c>
      <c r="I222" s="22">
        <v>195</v>
      </c>
      <c r="J222" s="23">
        <v>1724</v>
      </c>
    </row>
    <row r="223" spans="1:10" x14ac:dyDescent="0.3">
      <c r="A223" s="20">
        <v>2320127002</v>
      </c>
      <c r="B223" s="21">
        <v>42477</v>
      </c>
      <c r="C223" s="22" t="s">
        <v>15</v>
      </c>
      <c r="D223" s="22">
        <v>0</v>
      </c>
      <c r="E223" s="22">
        <v>6198</v>
      </c>
      <c r="F223" s="22">
        <v>4.1799998283386204</v>
      </c>
      <c r="G223" s="22">
        <v>0</v>
      </c>
      <c r="H223" s="22">
        <v>0</v>
      </c>
      <c r="I223" s="22">
        <v>249</v>
      </c>
      <c r="J223" s="23">
        <v>1852</v>
      </c>
    </row>
    <row r="224" spans="1:10" x14ac:dyDescent="0.3">
      <c r="A224" s="20">
        <v>2320127002</v>
      </c>
      <c r="B224" s="21">
        <v>42478</v>
      </c>
      <c r="C224" s="22" t="s">
        <v>16</v>
      </c>
      <c r="D224" s="22">
        <v>1</v>
      </c>
      <c r="E224" s="22">
        <v>6559</v>
      </c>
      <c r="F224" s="22">
        <v>4.4200000762939498</v>
      </c>
      <c r="G224" s="22">
        <v>0</v>
      </c>
      <c r="H224" s="22">
        <v>7</v>
      </c>
      <c r="I224" s="22">
        <v>260</v>
      </c>
      <c r="J224" s="23">
        <v>1905</v>
      </c>
    </row>
    <row r="225" spans="1:10" x14ac:dyDescent="0.3">
      <c r="A225" s="20">
        <v>2320127002</v>
      </c>
      <c r="B225" s="21">
        <v>42479</v>
      </c>
      <c r="C225" s="22" t="s">
        <v>10</v>
      </c>
      <c r="D225" s="22">
        <v>2</v>
      </c>
      <c r="E225" s="22">
        <v>5997</v>
      </c>
      <c r="F225" s="22">
        <v>4.03999996185303</v>
      </c>
      <c r="G225" s="22">
        <v>0</v>
      </c>
      <c r="H225" s="22">
        <v>11</v>
      </c>
      <c r="I225" s="22">
        <v>228</v>
      </c>
      <c r="J225" s="23">
        <v>1811</v>
      </c>
    </row>
    <row r="226" spans="1:10" x14ac:dyDescent="0.3">
      <c r="A226" s="20">
        <v>2320127002</v>
      </c>
      <c r="B226" s="21">
        <v>42480</v>
      </c>
      <c r="C226" s="22" t="s">
        <v>11</v>
      </c>
      <c r="D226" s="22">
        <v>3</v>
      </c>
      <c r="E226" s="22">
        <v>7192</v>
      </c>
      <c r="F226" s="22">
        <v>4.8499999046325701</v>
      </c>
      <c r="G226" s="22">
        <v>0</v>
      </c>
      <c r="H226" s="22">
        <v>11</v>
      </c>
      <c r="I226" s="22">
        <v>283</v>
      </c>
      <c r="J226" s="23">
        <v>1922</v>
      </c>
    </row>
    <row r="227" spans="1:10" x14ac:dyDescent="0.3">
      <c r="A227" s="20">
        <v>2320127002</v>
      </c>
      <c r="B227" s="21">
        <v>42481</v>
      </c>
      <c r="C227" s="22" t="s">
        <v>12</v>
      </c>
      <c r="D227" s="22">
        <v>4</v>
      </c>
      <c r="E227" s="22">
        <v>3404</v>
      </c>
      <c r="F227" s="22">
        <v>2.28999996185303</v>
      </c>
      <c r="G227" s="22">
        <v>1</v>
      </c>
      <c r="H227" s="22">
        <v>10</v>
      </c>
      <c r="I227" s="22">
        <v>127</v>
      </c>
      <c r="J227" s="23">
        <v>1610</v>
      </c>
    </row>
    <row r="228" spans="1:10" x14ac:dyDescent="0.3">
      <c r="A228" s="20">
        <v>2320127002</v>
      </c>
      <c r="B228" s="21">
        <v>42482</v>
      </c>
      <c r="C228" s="22" t="s">
        <v>13</v>
      </c>
      <c r="D228" s="22">
        <v>5</v>
      </c>
      <c r="E228" s="22">
        <v>5583</v>
      </c>
      <c r="F228" s="22">
        <v>3.7599999904632599</v>
      </c>
      <c r="G228" s="22">
        <v>0</v>
      </c>
      <c r="H228" s="22">
        <v>0</v>
      </c>
      <c r="I228" s="22">
        <v>266</v>
      </c>
      <c r="J228" s="23">
        <v>1851</v>
      </c>
    </row>
    <row r="229" spans="1:10" x14ac:dyDescent="0.3">
      <c r="A229" s="20">
        <v>2320127002</v>
      </c>
      <c r="B229" s="21">
        <v>42483</v>
      </c>
      <c r="C229" s="22" t="s">
        <v>14</v>
      </c>
      <c r="D229" s="22">
        <v>6</v>
      </c>
      <c r="E229" s="22">
        <v>5079</v>
      </c>
      <c r="F229" s="22">
        <v>3.4200000762939502</v>
      </c>
      <c r="G229" s="22">
        <v>0</v>
      </c>
      <c r="H229" s="22">
        <v>0</v>
      </c>
      <c r="I229" s="22">
        <v>242</v>
      </c>
      <c r="J229" s="23">
        <v>1804</v>
      </c>
    </row>
    <row r="230" spans="1:10" x14ac:dyDescent="0.3">
      <c r="A230" s="20">
        <v>2320127002</v>
      </c>
      <c r="B230" s="21">
        <v>42484</v>
      </c>
      <c r="C230" s="22" t="s">
        <v>15</v>
      </c>
      <c r="D230" s="22">
        <v>0</v>
      </c>
      <c r="E230" s="22">
        <v>4165</v>
      </c>
      <c r="F230" s="22">
        <v>2.8099999427795401</v>
      </c>
      <c r="G230" s="22">
        <v>0</v>
      </c>
      <c r="H230" s="22">
        <v>0</v>
      </c>
      <c r="I230" s="22">
        <v>204</v>
      </c>
      <c r="J230" s="23">
        <v>1725</v>
      </c>
    </row>
    <row r="231" spans="1:10" x14ac:dyDescent="0.3">
      <c r="A231" s="20">
        <v>2320127002</v>
      </c>
      <c r="B231" s="21">
        <v>42485</v>
      </c>
      <c r="C231" s="22" t="s">
        <v>16</v>
      </c>
      <c r="D231" s="22">
        <v>1</v>
      </c>
      <c r="E231" s="22">
        <v>3588</v>
      </c>
      <c r="F231" s="22">
        <v>2.4200000762939502</v>
      </c>
      <c r="G231" s="22">
        <v>3</v>
      </c>
      <c r="H231" s="22">
        <v>5</v>
      </c>
      <c r="I231" s="22">
        <v>152</v>
      </c>
      <c r="J231" s="23">
        <v>1654</v>
      </c>
    </row>
    <row r="232" spans="1:10" x14ac:dyDescent="0.3">
      <c r="A232" s="20">
        <v>2320127002</v>
      </c>
      <c r="B232" s="21">
        <v>42486</v>
      </c>
      <c r="C232" s="22" t="s">
        <v>10</v>
      </c>
      <c r="D232" s="22">
        <v>2</v>
      </c>
      <c r="E232" s="22">
        <v>3409</v>
      </c>
      <c r="F232" s="22">
        <v>2.2999999523162802</v>
      </c>
      <c r="G232" s="22">
        <v>0</v>
      </c>
      <c r="H232" s="22">
        <v>0</v>
      </c>
      <c r="I232" s="22">
        <v>147</v>
      </c>
      <c r="J232" s="23">
        <v>1632</v>
      </c>
    </row>
    <row r="233" spans="1:10" x14ac:dyDescent="0.3">
      <c r="A233" s="20">
        <v>2320127002</v>
      </c>
      <c r="B233" s="21">
        <v>42487</v>
      </c>
      <c r="C233" s="22" t="s">
        <v>11</v>
      </c>
      <c r="D233" s="22">
        <v>3</v>
      </c>
      <c r="E233" s="22">
        <v>1715</v>
      </c>
      <c r="F233" s="22">
        <v>1.1599999666214</v>
      </c>
      <c r="G233" s="22">
        <v>0</v>
      </c>
      <c r="H233" s="22">
        <v>0</v>
      </c>
      <c r="I233" s="22">
        <v>82</v>
      </c>
      <c r="J233" s="23">
        <v>1481</v>
      </c>
    </row>
    <row r="234" spans="1:10" x14ac:dyDescent="0.3">
      <c r="A234" s="20">
        <v>2320127002</v>
      </c>
      <c r="B234" s="21">
        <v>42488</v>
      </c>
      <c r="C234" s="22" t="s">
        <v>12</v>
      </c>
      <c r="D234" s="22">
        <v>4</v>
      </c>
      <c r="E234" s="22">
        <v>1532</v>
      </c>
      <c r="F234" s="22">
        <v>1.0299999713897701</v>
      </c>
      <c r="G234" s="22">
        <v>0</v>
      </c>
      <c r="H234" s="22">
        <v>0</v>
      </c>
      <c r="I234" s="22">
        <v>76</v>
      </c>
      <c r="J234" s="23">
        <v>1473</v>
      </c>
    </row>
    <row r="235" spans="1:10" x14ac:dyDescent="0.3">
      <c r="A235" s="20">
        <v>2320127002</v>
      </c>
      <c r="B235" s="21">
        <v>42489</v>
      </c>
      <c r="C235" s="22" t="s">
        <v>13</v>
      </c>
      <c r="D235" s="22">
        <v>5</v>
      </c>
      <c r="E235" s="22">
        <v>924</v>
      </c>
      <c r="F235" s="22">
        <v>0.62000000476837203</v>
      </c>
      <c r="G235" s="22">
        <v>0</v>
      </c>
      <c r="H235" s="22">
        <v>0</v>
      </c>
      <c r="I235" s="22">
        <v>45</v>
      </c>
      <c r="J235" s="23">
        <v>1410</v>
      </c>
    </row>
    <row r="236" spans="1:10" x14ac:dyDescent="0.3">
      <c r="A236" s="20">
        <v>2320127002</v>
      </c>
      <c r="B236" s="21">
        <v>42490</v>
      </c>
      <c r="C236" s="22" t="s">
        <v>14</v>
      </c>
      <c r="D236" s="22">
        <v>6</v>
      </c>
      <c r="E236" s="22">
        <v>4571</v>
      </c>
      <c r="F236" s="22">
        <v>3.0799999237060498</v>
      </c>
      <c r="G236" s="22">
        <v>0</v>
      </c>
      <c r="H236" s="22">
        <v>0</v>
      </c>
      <c r="I236" s="22">
        <v>234</v>
      </c>
      <c r="J236" s="23">
        <v>1779</v>
      </c>
    </row>
    <row r="237" spans="1:10" x14ac:dyDescent="0.3">
      <c r="A237" s="20">
        <v>2320127002</v>
      </c>
      <c r="B237" s="21">
        <v>42491</v>
      </c>
      <c r="C237" s="22" t="s">
        <v>15</v>
      </c>
      <c r="D237" s="22">
        <v>0</v>
      </c>
      <c r="E237" s="22">
        <v>772</v>
      </c>
      <c r="F237" s="22">
        <v>0.519999980926514</v>
      </c>
      <c r="G237" s="22">
        <v>0</v>
      </c>
      <c r="H237" s="22">
        <v>0</v>
      </c>
      <c r="I237" s="22">
        <v>40</v>
      </c>
      <c r="J237" s="23">
        <v>1403</v>
      </c>
    </row>
    <row r="238" spans="1:10" x14ac:dyDescent="0.3">
      <c r="A238" s="20">
        <v>2320127002</v>
      </c>
      <c r="B238" s="21">
        <v>42492</v>
      </c>
      <c r="C238" s="22" t="s">
        <v>16</v>
      </c>
      <c r="D238" s="22">
        <v>1</v>
      </c>
      <c r="E238" s="22">
        <v>3634</v>
      </c>
      <c r="F238" s="22">
        <v>2.4500000476837198</v>
      </c>
      <c r="G238" s="22">
        <v>5</v>
      </c>
      <c r="H238" s="22">
        <v>6</v>
      </c>
      <c r="I238" s="22">
        <v>123</v>
      </c>
      <c r="J238" s="23">
        <v>1613</v>
      </c>
    </row>
    <row r="239" spans="1:10" x14ac:dyDescent="0.3">
      <c r="A239" s="20">
        <v>2320127002</v>
      </c>
      <c r="B239" s="21">
        <v>42493</v>
      </c>
      <c r="C239" s="22" t="s">
        <v>10</v>
      </c>
      <c r="D239" s="22">
        <v>2</v>
      </c>
      <c r="E239" s="22">
        <v>7443</v>
      </c>
      <c r="F239" s="22">
        <v>5.0199999809265101</v>
      </c>
      <c r="G239" s="22">
        <v>20</v>
      </c>
      <c r="H239" s="22">
        <v>10</v>
      </c>
      <c r="I239" s="22">
        <v>206</v>
      </c>
      <c r="J239" s="23">
        <v>1878</v>
      </c>
    </row>
    <row r="240" spans="1:10" x14ac:dyDescent="0.3">
      <c r="A240" s="20">
        <v>2320127002</v>
      </c>
      <c r="B240" s="21">
        <v>42494</v>
      </c>
      <c r="C240" s="22" t="s">
        <v>11</v>
      </c>
      <c r="D240" s="22">
        <v>3</v>
      </c>
      <c r="E240" s="22">
        <v>1201</v>
      </c>
      <c r="F240" s="22">
        <v>0.81000000238418601</v>
      </c>
      <c r="G240" s="22">
        <v>0</v>
      </c>
      <c r="H240" s="22">
        <v>0</v>
      </c>
      <c r="I240" s="22">
        <v>52</v>
      </c>
      <c r="J240" s="23">
        <v>1426</v>
      </c>
    </row>
    <row r="241" spans="1:10" x14ac:dyDescent="0.3">
      <c r="A241" s="20">
        <v>2320127002</v>
      </c>
      <c r="B241" s="21">
        <v>42495</v>
      </c>
      <c r="C241" s="22" t="s">
        <v>12</v>
      </c>
      <c r="D241" s="22">
        <v>4</v>
      </c>
      <c r="E241" s="22">
        <v>5202</v>
      </c>
      <c r="F241" s="22">
        <v>3.5099999904632599</v>
      </c>
      <c r="G241" s="22">
        <v>0</v>
      </c>
      <c r="H241" s="22">
        <v>11</v>
      </c>
      <c r="I241" s="22">
        <v>223</v>
      </c>
      <c r="J241" s="23">
        <v>1780</v>
      </c>
    </row>
    <row r="242" spans="1:10" x14ac:dyDescent="0.3">
      <c r="A242" s="20">
        <v>2320127002</v>
      </c>
      <c r="B242" s="21">
        <v>42496</v>
      </c>
      <c r="C242" s="22" t="s">
        <v>13</v>
      </c>
      <c r="D242" s="22">
        <v>5</v>
      </c>
      <c r="E242" s="22">
        <v>4878</v>
      </c>
      <c r="F242" s="22">
        <v>3.28999996185303</v>
      </c>
      <c r="G242" s="22">
        <v>0</v>
      </c>
      <c r="H242" s="22">
        <v>0</v>
      </c>
      <c r="I242" s="22">
        <v>204</v>
      </c>
      <c r="J242" s="23">
        <v>1742</v>
      </c>
    </row>
    <row r="243" spans="1:10" x14ac:dyDescent="0.3">
      <c r="A243" s="20">
        <v>2320127002</v>
      </c>
      <c r="B243" s="21">
        <v>42497</v>
      </c>
      <c r="C243" s="22" t="s">
        <v>14</v>
      </c>
      <c r="D243" s="22">
        <v>6</v>
      </c>
      <c r="E243" s="22">
        <v>7379</v>
      </c>
      <c r="F243" s="22">
        <v>4.9699997901916504</v>
      </c>
      <c r="G243" s="22">
        <v>0</v>
      </c>
      <c r="H243" s="22">
        <v>0</v>
      </c>
      <c r="I243" s="22">
        <v>319</v>
      </c>
      <c r="J243" s="23">
        <v>1972</v>
      </c>
    </row>
    <row r="244" spans="1:10" x14ac:dyDescent="0.3">
      <c r="A244" s="20">
        <v>2320127002</v>
      </c>
      <c r="B244" s="21">
        <v>42498</v>
      </c>
      <c r="C244" s="22" t="s">
        <v>15</v>
      </c>
      <c r="D244" s="22">
        <v>0</v>
      </c>
      <c r="E244" s="22">
        <v>5161</v>
      </c>
      <c r="F244" s="22">
        <v>3.4800000190734899</v>
      </c>
      <c r="G244" s="22">
        <v>0</v>
      </c>
      <c r="H244" s="22">
        <v>0</v>
      </c>
      <c r="I244" s="22">
        <v>247</v>
      </c>
      <c r="J244" s="23">
        <v>1821</v>
      </c>
    </row>
    <row r="245" spans="1:10" x14ac:dyDescent="0.3">
      <c r="A245" s="20">
        <v>2320127002</v>
      </c>
      <c r="B245" s="21">
        <v>42499</v>
      </c>
      <c r="C245" s="22" t="s">
        <v>16</v>
      </c>
      <c r="D245" s="22">
        <v>1</v>
      </c>
      <c r="E245" s="22">
        <v>3090</v>
      </c>
      <c r="F245" s="22">
        <v>2.0799999237060498</v>
      </c>
      <c r="G245" s="22">
        <v>0</v>
      </c>
      <c r="H245" s="22">
        <v>0</v>
      </c>
      <c r="I245" s="22">
        <v>145</v>
      </c>
      <c r="J245" s="23">
        <v>1630</v>
      </c>
    </row>
    <row r="246" spans="1:10" x14ac:dyDescent="0.3">
      <c r="A246" s="20">
        <v>2320127002</v>
      </c>
      <c r="B246" s="21">
        <v>42500</v>
      </c>
      <c r="C246" s="22" t="s">
        <v>10</v>
      </c>
      <c r="D246" s="22">
        <v>2</v>
      </c>
      <c r="E246" s="22">
        <v>6227</v>
      </c>
      <c r="F246" s="22">
        <v>4.1999998092651403</v>
      </c>
      <c r="G246" s="22">
        <v>0</v>
      </c>
      <c r="H246" s="22">
        <v>0</v>
      </c>
      <c r="I246" s="22">
        <v>290</v>
      </c>
      <c r="J246" s="23">
        <v>1899</v>
      </c>
    </row>
    <row r="247" spans="1:10" x14ac:dyDescent="0.3">
      <c r="A247" s="20">
        <v>2320127002</v>
      </c>
      <c r="B247" s="21">
        <v>42501</v>
      </c>
      <c r="C247" s="22" t="s">
        <v>11</v>
      </c>
      <c r="D247" s="22">
        <v>3</v>
      </c>
      <c r="E247" s="22">
        <v>6424</v>
      </c>
      <c r="F247" s="22">
        <v>4.3299999237060502</v>
      </c>
      <c r="G247" s="22">
        <v>0</v>
      </c>
      <c r="H247" s="22">
        <v>0</v>
      </c>
      <c r="I247" s="22">
        <v>300</v>
      </c>
      <c r="J247" s="23">
        <v>1903</v>
      </c>
    </row>
    <row r="248" spans="1:10" x14ac:dyDescent="0.3">
      <c r="A248" s="20">
        <v>2320127002</v>
      </c>
      <c r="B248" s="21">
        <v>42502</v>
      </c>
      <c r="C248" s="22" t="s">
        <v>12</v>
      </c>
      <c r="D248" s="22">
        <v>4</v>
      </c>
      <c r="E248" s="22">
        <v>2661</v>
      </c>
      <c r="F248" s="22">
        <v>1.78999996185303</v>
      </c>
      <c r="G248" s="22">
        <v>0</v>
      </c>
      <c r="H248" s="22">
        <v>0</v>
      </c>
      <c r="I248" s="22">
        <v>128</v>
      </c>
      <c r="J248" s="23">
        <v>1125</v>
      </c>
    </row>
    <row r="249" spans="1:10" x14ac:dyDescent="0.3">
      <c r="A249" s="20">
        <v>2347167796</v>
      </c>
      <c r="B249" s="21">
        <v>42472</v>
      </c>
      <c r="C249" s="22" t="s">
        <v>10</v>
      </c>
      <c r="D249" s="22">
        <v>2</v>
      </c>
      <c r="E249" s="22">
        <v>10113</v>
      </c>
      <c r="F249" s="22">
        <v>6.8299999237060502</v>
      </c>
      <c r="G249" s="22">
        <v>28</v>
      </c>
      <c r="H249" s="22">
        <v>13</v>
      </c>
      <c r="I249" s="22">
        <v>320</v>
      </c>
      <c r="J249" s="23">
        <v>2344</v>
      </c>
    </row>
    <row r="250" spans="1:10" x14ac:dyDescent="0.3">
      <c r="A250" s="20">
        <v>2347167796</v>
      </c>
      <c r="B250" s="21">
        <v>42473</v>
      </c>
      <c r="C250" s="22" t="s">
        <v>11</v>
      </c>
      <c r="D250" s="22">
        <v>3</v>
      </c>
      <c r="E250" s="22">
        <v>10352</v>
      </c>
      <c r="F250" s="22">
        <v>7.0100002288818404</v>
      </c>
      <c r="G250" s="22">
        <v>19</v>
      </c>
      <c r="H250" s="22">
        <v>32</v>
      </c>
      <c r="I250" s="22">
        <v>195</v>
      </c>
      <c r="J250" s="23">
        <v>2038</v>
      </c>
    </row>
    <row r="251" spans="1:10" x14ac:dyDescent="0.3">
      <c r="A251" s="20">
        <v>2347167796</v>
      </c>
      <c r="B251" s="21">
        <v>42474</v>
      </c>
      <c r="C251" s="22" t="s">
        <v>12</v>
      </c>
      <c r="D251" s="22">
        <v>4</v>
      </c>
      <c r="E251" s="22">
        <v>10129</v>
      </c>
      <c r="F251" s="22">
        <v>6.6999998092651403</v>
      </c>
      <c r="G251" s="22">
        <v>1</v>
      </c>
      <c r="H251" s="22">
        <v>48</v>
      </c>
      <c r="I251" s="22">
        <v>206</v>
      </c>
      <c r="J251" s="23">
        <v>2010</v>
      </c>
    </row>
    <row r="252" spans="1:10" x14ac:dyDescent="0.3">
      <c r="A252" s="20">
        <v>2347167796</v>
      </c>
      <c r="B252" s="21">
        <v>42475</v>
      </c>
      <c r="C252" s="22" t="s">
        <v>13</v>
      </c>
      <c r="D252" s="22">
        <v>5</v>
      </c>
      <c r="E252" s="22">
        <v>10465</v>
      </c>
      <c r="F252" s="22">
        <v>6.9200000762939498</v>
      </c>
      <c r="G252" s="22">
        <v>1</v>
      </c>
      <c r="H252" s="22">
        <v>24</v>
      </c>
      <c r="I252" s="22">
        <v>284</v>
      </c>
      <c r="J252" s="23">
        <v>2133</v>
      </c>
    </row>
    <row r="253" spans="1:10" x14ac:dyDescent="0.3">
      <c r="A253" s="20">
        <v>2347167796</v>
      </c>
      <c r="B253" s="21">
        <v>42476</v>
      </c>
      <c r="C253" s="22" t="s">
        <v>14</v>
      </c>
      <c r="D253" s="22">
        <v>6</v>
      </c>
      <c r="E253" s="22">
        <v>22244</v>
      </c>
      <c r="F253" s="22">
        <v>15.079999923706101</v>
      </c>
      <c r="G253" s="22">
        <v>66</v>
      </c>
      <c r="H253" s="22">
        <v>72</v>
      </c>
      <c r="I253" s="22">
        <v>268</v>
      </c>
      <c r="J253" s="23">
        <v>2670</v>
      </c>
    </row>
    <row r="254" spans="1:10" x14ac:dyDescent="0.3">
      <c r="A254" s="20">
        <v>2347167796</v>
      </c>
      <c r="B254" s="21">
        <v>42477</v>
      </c>
      <c r="C254" s="22" t="s">
        <v>15</v>
      </c>
      <c r="D254" s="22">
        <v>0</v>
      </c>
      <c r="E254" s="22">
        <v>5472</v>
      </c>
      <c r="F254" s="22">
        <v>3.6199998855590798</v>
      </c>
      <c r="G254" s="22">
        <v>1</v>
      </c>
      <c r="H254" s="22">
        <v>7</v>
      </c>
      <c r="I254" s="22">
        <v>249</v>
      </c>
      <c r="J254" s="23">
        <v>1882</v>
      </c>
    </row>
    <row r="255" spans="1:10" x14ac:dyDescent="0.3">
      <c r="A255" s="20">
        <v>2347167796</v>
      </c>
      <c r="B255" s="21">
        <v>42478</v>
      </c>
      <c r="C255" s="22" t="s">
        <v>16</v>
      </c>
      <c r="D255" s="22">
        <v>1</v>
      </c>
      <c r="E255" s="22">
        <v>8247</v>
      </c>
      <c r="F255" s="22">
        <v>5.4499998092651403</v>
      </c>
      <c r="G255" s="22">
        <v>11</v>
      </c>
      <c r="H255" s="22">
        <v>16</v>
      </c>
      <c r="I255" s="22">
        <v>206</v>
      </c>
      <c r="J255" s="23">
        <v>1944</v>
      </c>
    </row>
    <row r="256" spans="1:10" x14ac:dyDescent="0.3">
      <c r="A256" s="20">
        <v>2347167796</v>
      </c>
      <c r="B256" s="21">
        <v>42479</v>
      </c>
      <c r="C256" s="22" t="s">
        <v>10</v>
      </c>
      <c r="D256" s="22">
        <v>2</v>
      </c>
      <c r="E256" s="22">
        <v>6711</v>
      </c>
      <c r="F256" s="22">
        <v>4.4400000572204599</v>
      </c>
      <c r="G256" s="22">
        <v>0</v>
      </c>
      <c r="H256" s="22">
        <v>7</v>
      </c>
      <c r="I256" s="22">
        <v>382</v>
      </c>
      <c r="J256" s="23">
        <v>2346</v>
      </c>
    </row>
    <row r="257" spans="1:10" x14ac:dyDescent="0.3">
      <c r="A257" s="20">
        <v>2347167796</v>
      </c>
      <c r="B257" s="21">
        <v>42480</v>
      </c>
      <c r="C257" s="22" t="s">
        <v>11</v>
      </c>
      <c r="D257" s="22">
        <v>3</v>
      </c>
      <c r="E257" s="22">
        <v>10999</v>
      </c>
      <c r="F257" s="22">
        <v>7.2699999809265101</v>
      </c>
      <c r="G257" s="22">
        <v>11</v>
      </c>
      <c r="H257" s="22">
        <v>43</v>
      </c>
      <c r="I257" s="22">
        <v>269</v>
      </c>
      <c r="J257" s="23">
        <v>2198</v>
      </c>
    </row>
    <row r="258" spans="1:10" x14ac:dyDescent="0.3">
      <c r="A258" s="20">
        <v>2347167796</v>
      </c>
      <c r="B258" s="21">
        <v>42481</v>
      </c>
      <c r="C258" s="22" t="s">
        <v>12</v>
      </c>
      <c r="D258" s="22">
        <v>4</v>
      </c>
      <c r="E258" s="22">
        <v>10080</v>
      </c>
      <c r="F258" s="22">
        <v>6.75</v>
      </c>
      <c r="G258" s="22">
        <v>23</v>
      </c>
      <c r="H258" s="22">
        <v>26</v>
      </c>
      <c r="I258" s="22">
        <v>208</v>
      </c>
      <c r="J258" s="23">
        <v>2048</v>
      </c>
    </row>
    <row r="259" spans="1:10" x14ac:dyDescent="0.3">
      <c r="A259" s="20">
        <v>2347167796</v>
      </c>
      <c r="B259" s="21">
        <v>42482</v>
      </c>
      <c r="C259" s="22" t="s">
        <v>13</v>
      </c>
      <c r="D259" s="22">
        <v>5</v>
      </c>
      <c r="E259" s="22">
        <v>7804</v>
      </c>
      <c r="F259" s="22">
        <v>5.1599998474121103</v>
      </c>
      <c r="G259" s="22">
        <v>9</v>
      </c>
      <c r="H259" s="22">
        <v>27</v>
      </c>
      <c r="I259" s="22">
        <v>206</v>
      </c>
      <c r="J259" s="23">
        <v>1946</v>
      </c>
    </row>
    <row r="260" spans="1:10" x14ac:dyDescent="0.3">
      <c r="A260" s="20">
        <v>2347167796</v>
      </c>
      <c r="B260" s="21">
        <v>42483</v>
      </c>
      <c r="C260" s="22" t="s">
        <v>14</v>
      </c>
      <c r="D260" s="22">
        <v>6</v>
      </c>
      <c r="E260" s="22">
        <v>16901</v>
      </c>
      <c r="F260" s="22">
        <v>11.3699998855591</v>
      </c>
      <c r="G260" s="22">
        <v>32</v>
      </c>
      <c r="H260" s="22">
        <v>35</v>
      </c>
      <c r="I260" s="22">
        <v>360</v>
      </c>
      <c r="J260" s="23">
        <v>2629</v>
      </c>
    </row>
    <row r="261" spans="1:10" x14ac:dyDescent="0.3">
      <c r="A261" s="20">
        <v>2347167796</v>
      </c>
      <c r="B261" s="21">
        <v>42484</v>
      </c>
      <c r="C261" s="22" t="s">
        <v>15</v>
      </c>
      <c r="D261" s="22">
        <v>0</v>
      </c>
      <c r="E261" s="22">
        <v>9471</v>
      </c>
      <c r="F261" s="22">
        <v>6.2600002288818404</v>
      </c>
      <c r="G261" s="22">
        <v>0</v>
      </c>
      <c r="H261" s="22">
        <v>0</v>
      </c>
      <c r="I261" s="22">
        <v>360</v>
      </c>
      <c r="J261" s="23">
        <v>2187</v>
      </c>
    </row>
    <row r="262" spans="1:10" x14ac:dyDescent="0.3">
      <c r="A262" s="20">
        <v>2347167796</v>
      </c>
      <c r="B262" s="21">
        <v>42485</v>
      </c>
      <c r="C262" s="22" t="s">
        <v>16</v>
      </c>
      <c r="D262" s="22">
        <v>1</v>
      </c>
      <c r="E262" s="22">
        <v>9482</v>
      </c>
      <c r="F262" s="22">
        <v>6.3800001144409197</v>
      </c>
      <c r="G262" s="22">
        <v>15</v>
      </c>
      <c r="H262" s="22">
        <v>11</v>
      </c>
      <c r="I262" s="22">
        <v>277</v>
      </c>
      <c r="J262" s="23">
        <v>2095</v>
      </c>
    </row>
    <row r="263" spans="1:10" x14ac:dyDescent="0.3">
      <c r="A263" s="20">
        <v>2347167796</v>
      </c>
      <c r="B263" s="21">
        <v>42486</v>
      </c>
      <c r="C263" s="22" t="s">
        <v>10</v>
      </c>
      <c r="D263" s="22">
        <v>2</v>
      </c>
      <c r="E263" s="22">
        <v>5980</v>
      </c>
      <c r="F263" s="22">
        <v>3.9500000476837198</v>
      </c>
      <c r="G263" s="22">
        <v>0</v>
      </c>
      <c r="H263" s="22">
        <v>0</v>
      </c>
      <c r="I263" s="22">
        <v>227</v>
      </c>
      <c r="J263" s="23">
        <v>1861</v>
      </c>
    </row>
    <row r="264" spans="1:10" x14ac:dyDescent="0.3">
      <c r="A264" s="20">
        <v>2347167796</v>
      </c>
      <c r="B264" s="21">
        <v>42487</v>
      </c>
      <c r="C264" s="22" t="s">
        <v>11</v>
      </c>
      <c r="D264" s="22">
        <v>3</v>
      </c>
      <c r="E264" s="22">
        <v>11423</v>
      </c>
      <c r="F264" s="22">
        <v>7.5799999237060502</v>
      </c>
      <c r="G264" s="22">
        <v>26</v>
      </c>
      <c r="H264" s="22">
        <v>9</v>
      </c>
      <c r="I264" s="22">
        <v>295</v>
      </c>
      <c r="J264" s="23">
        <v>2194</v>
      </c>
    </row>
    <row r="265" spans="1:10" x14ac:dyDescent="0.3">
      <c r="A265" s="20">
        <v>2347167796</v>
      </c>
      <c r="B265" s="21">
        <v>42488</v>
      </c>
      <c r="C265" s="22" t="s">
        <v>12</v>
      </c>
      <c r="D265" s="22">
        <v>4</v>
      </c>
      <c r="E265" s="22">
        <v>5439</v>
      </c>
      <c r="F265" s="22">
        <v>3.5999999046325701</v>
      </c>
      <c r="G265" s="22">
        <v>0</v>
      </c>
      <c r="H265" s="22">
        <v>0</v>
      </c>
      <c r="I265" s="22">
        <v>229</v>
      </c>
      <c r="J265" s="23">
        <v>1854</v>
      </c>
    </row>
    <row r="266" spans="1:10" x14ac:dyDescent="0.3">
      <c r="A266" s="20">
        <v>2347167796</v>
      </c>
      <c r="B266" s="21">
        <v>42489</v>
      </c>
      <c r="C266" s="22" t="s">
        <v>13</v>
      </c>
      <c r="D266" s="22">
        <v>5</v>
      </c>
      <c r="E266" s="22">
        <v>42</v>
      </c>
      <c r="F266" s="22">
        <v>2.9999999329447701E-2</v>
      </c>
      <c r="G266" s="22">
        <v>0</v>
      </c>
      <c r="H266" s="22">
        <v>0</v>
      </c>
      <c r="I266" s="22">
        <v>4</v>
      </c>
      <c r="J266" s="23">
        <v>403</v>
      </c>
    </row>
    <row r="267" spans="1:10" x14ac:dyDescent="0.3">
      <c r="A267" s="20">
        <v>2873212765</v>
      </c>
      <c r="B267" s="21">
        <v>42472</v>
      </c>
      <c r="C267" s="22" t="s">
        <v>10</v>
      </c>
      <c r="D267" s="22">
        <v>2</v>
      </c>
      <c r="E267" s="22">
        <v>8796</v>
      </c>
      <c r="F267" s="22">
        <v>5.9099998474121103</v>
      </c>
      <c r="G267" s="22">
        <v>2</v>
      </c>
      <c r="H267" s="22">
        <v>21</v>
      </c>
      <c r="I267" s="22">
        <v>356</v>
      </c>
      <c r="J267" s="23">
        <v>1982</v>
      </c>
    </row>
    <row r="268" spans="1:10" x14ac:dyDescent="0.3">
      <c r="A268" s="20">
        <v>2873212765</v>
      </c>
      <c r="B268" s="21">
        <v>42473</v>
      </c>
      <c r="C268" s="22" t="s">
        <v>11</v>
      </c>
      <c r="D268" s="22">
        <v>3</v>
      </c>
      <c r="E268" s="22">
        <v>7618</v>
      </c>
      <c r="F268" s="22">
        <v>5.1199998855590803</v>
      </c>
      <c r="G268" s="22">
        <v>0</v>
      </c>
      <c r="H268" s="22">
        <v>8</v>
      </c>
      <c r="I268" s="22">
        <v>404</v>
      </c>
      <c r="J268" s="23">
        <v>2004</v>
      </c>
    </row>
    <row r="269" spans="1:10" x14ac:dyDescent="0.3">
      <c r="A269" s="20">
        <v>2873212765</v>
      </c>
      <c r="B269" s="21">
        <v>42474</v>
      </c>
      <c r="C269" s="22" t="s">
        <v>12</v>
      </c>
      <c r="D269" s="22">
        <v>4</v>
      </c>
      <c r="E269" s="22">
        <v>7910</v>
      </c>
      <c r="F269" s="22">
        <v>5.3200001716613796</v>
      </c>
      <c r="G269" s="22">
        <v>0</v>
      </c>
      <c r="H269" s="22">
        <v>0</v>
      </c>
      <c r="I269" s="22">
        <v>331</v>
      </c>
      <c r="J269" s="23">
        <v>1893</v>
      </c>
    </row>
    <row r="270" spans="1:10" x14ac:dyDescent="0.3">
      <c r="A270" s="20">
        <v>2873212765</v>
      </c>
      <c r="B270" s="21">
        <v>42475</v>
      </c>
      <c r="C270" s="22" t="s">
        <v>13</v>
      </c>
      <c r="D270" s="22">
        <v>5</v>
      </c>
      <c r="E270" s="22">
        <v>8482</v>
      </c>
      <c r="F270" s="22">
        <v>5.6999998092651403</v>
      </c>
      <c r="G270" s="22">
        <v>0</v>
      </c>
      <c r="H270" s="22">
        <v>0</v>
      </c>
      <c r="I270" s="22">
        <v>448</v>
      </c>
      <c r="J270" s="23">
        <v>2063</v>
      </c>
    </row>
    <row r="271" spans="1:10" x14ac:dyDescent="0.3">
      <c r="A271" s="20">
        <v>2873212765</v>
      </c>
      <c r="B271" s="21">
        <v>42476</v>
      </c>
      <c r="C271" s="22" t="s">
        <v>14</v>
      </c>
      <c r="D271" s="22">
        <v>6</v>
      </c>
      <c r="E271" s="22">
        <v>9685</v>
      </c>
      <c r="F271" s="22">
        <v>6.6500000953674299</v>
      </c>
      <c r="G271" s="22">
        <v>47</v>
      </c>
      <c r="H271" s="22">
        <v>1</v>
      </c>
      <c r="I271" s="22">
        <v>305</v>
      </c>
      <c r="J271" s="23">
        <v>2148</v>
      </c>
    </row>
    <row r="272" spans="1:10" x14ac:dyDescent="0.3">
      <c r="A272" s="20">
        <v>2873212765</v>
      </c>
      <c r="B272" s="21">
        <v>42477</v>
      </c>
      <c r="C272" s="22" t="s">
        <v>15</v>
      </c>
      <c r="D272" s="22">
        <v>0</v>
      </c>
      <c r="E272" s="22">
        <v>2524</v>
      </c>
      <c r="F272" s="22">
        <v>1.70000004768372</v>
      </c>
      <c r="G272" s="22">
        <v>0</v>
      </c>
      <c r="H272" s="22">
        <v>8</v>
      </c>
      <c r="I272" s="22">
        <v>160</v>
      </c>
      <c r="J272" s="23">
        <v>1529</v>
      </c>
    </row>
    <row r="273" spans="1:10" x14ac:dyDescent="0.3">
      <c r="A273" s="20">
        <v>2873212765</v>
      </c>
      <c r="B273" s="21">
        <v>42478</v>
      </c>
      <c r="C273" s="22" t="s">
        <v>16</v>
      </c>
      <c r="D273" s="22">
        <v>1</v>
      </c>
      <c r="E273" s="22">
        <v>7762</v>
      </c>
      <c r="F273" s="22">
        <v>5.2399997711181596</v>
      </c>
      <c r="G273" s="22">
        <v>1</v>
      </c>
      <c r="H273" s="22">
        <v>6</v>
      </c>
      <c r="I273" s="22">
        <v>311</v>
      </c>
      <c r="J273" s="23">
        <v>1890</v>
      </c>
    </row>
    <row r="274" spans="1:10" x14ac:dyDescent="0.3">
      <c r="A274" s="20">
        <v>2873212765</v>
      </c>
      <c r="B274" s="21">
        <v>42479</v>
      </c>
      <c r="C274" s="22" t="s">
        <v>10</v>
      </c>
      <c r="D274" s="22">
        <v>2</v>
      </c>
      <c r="E274" s="22">
        <v>7948</v>
      </c>
      <c r="F274" s="22">
        <v>5.3699998855590803</v>
      </c>
      <c r="G274" s="22">
        <v>0</v>
      </c>
      <c r="H274" s="22">
        <v>0</v>
      </c>
      <c r="I274" s="22">
        <v>389</v>
      </c>
      <c r="J274" s="23">
        <v>1956</v>
      </c>
    </row>
    <row r="275" spans="1:10" x14ac:dyDescent="0.3">
      <c r="A275" s="20">
        <v>2873212765</v>
      </c>
      <c r="B275" s="21">
        <v>42480</v>
      </c>
      <c r="C275" s="22" t="s">
        <v>11</v>
      </c>
      <c r="D275" s="22">
        <v>3</v>
      </c>
      <c r="E275" s="22">
        <v>9202</v>
      </c>
      <c r="F275" s="22">
        <v>6.3000001907348597</v>
      </c>
      <c r="G275" s="22">
        <v>22</v>
      </c>
      <c r="H275" s="22">
        <v>5</v>
      </c>
      <c r="I275" s="22">
        <v>378</v>
      </c>
      <c r="J275" s="23">
        <v>2094</v>
      </c>
    </row>
    <row r="276" spans="1:10" x14ac:dyDescent="0.3">
      <c r="A276" s="20">
        <v>2873212765</v>
      </c>
      <c r="B276" s="21">
        <v>42481</v>
      </c>
      <c r="C276" s="22" t="s">
        <v>12</v>
      </c>
      <c r="D276" s="22">
        <v>4</v>
      </c>
      <c r="E276" s="22">
        <v>8859</v>
      </c>
      <c r="F276" s="22">
        <v>5.9800000190734899</v>
      </c>
      <c r="G276" s="22">
        <v>2</v>
      </c>
      <c r="H276" s="22">
        <v>10</v>
      </c>
      <c r="I276" s="22">
        <v>371</v>
      </c>
      <c r="J276" s="23">
        <v>1970</v>
      </c>
    </row>
    <row r="277" spans="1:10" x14ac:dyDescent="0.3">
      <c r="A277" s="20">
        <v>2873212765</v>
      </c>
      <c r="B277" s="21">
        <v>42482</v>
      </c>
      <c r="C277" s="22" t="s">
        <v>13</v>
      </c>
      <c r="D277" s="22">
        <v>5</v>
      </c>
      <c r="E277" s="22">
        <v>7286</v>
      </c>
      <c r="F277" s="22">
        <v>4.9000000953674299</v>
      </c>
      <c r="G277" s="22">
        <v>46</v>
      </c>
      <c r="H277" s="22">
        <v>0</v>
      </c>
      <c r="I277" s="22">
        <v>366</v>
      </c>
      <c r="J277" s="23">
        <v>2241</v>
      </c>
    </row>
    <row r="278" spans="1:10" x14ac:dyDescent="0.3">
      <c r="A278" s="20">
        <v>2873212765</v>
      </c>
      <c r="B278" s="21">
        <v>42483</v>
      </c>
      <c r="C278" s="22" t="s">
        <v>14</v>
      </c>
      <c r="D278" s="22">
        <v>6</v>
      </c>
      <c r="E278" s="22">
        <v>9317</v>
      </c>
      <c r="F278" s="22">
        <v>6.3499999046325701</v>
      </c>
      <c r="G278" s="22">
        <v>28</v>
      </c>
      <c r="H278" s="22">
        <v>5</v>
      </c>
      <c r="I278" s="22">
        <v>330</v>
      </c>
      <c r="J278" s="23">
        <v>2021</v>
      </c>
    </row>
    <row r="279" spans="1:10" x14ac:dyDescent="0.3">
      <c r="A279" s="20">
        <v>2873212765</v>
      </c>
      <c r="B279" s="21">
        <v>42484</v>
      </c>
      <c r="C279" s="22" t="s">
        <v>15</v>
      </c>
      <c r="D279" s="22">
        <v>0</v>
      </c>
      <c r="E279" s="22">
        <v>6873</v>
      </c>
      <c r="F279" s="22">
        <v>4.6799998283386204</v>
      </c>
      <c r="G279" s="22">
        <v>46</v>
      </c>
      <c r="H279" s="22">
        <v>1</v>
      </c>
      <c r="I279" s="22">
        <v>190</v>
      </c>
      <c r="J279" s="23">
        <v>1898</v>
      </c>
    </row>
    <row r="280" spans="1:10" x14ac:dyDescent="0.3">
      <c r="A280" s="20">
        <v>2873212765</v>
      </c>
      <c r="B280" s="21">
        <v>42485</v>
      </c>
      <c r="C280" s="22" t="s">
        <v>16</v>
      </c>
      <c r="D280" s="22">
        <v>1</v>
      </c>
      <c r="E280" s="22">
        <v>7373</v>
      </c>
      <c r="F280" s="22">
        <v>4.9499998092651403</v>
      </c>
      <c r="G280" s="22">
        <v>0</v>
      </c>
      <c r="H280" s="22">
        <v>0</v>
      </c>
      <c r="I280" s="22">
        <v>359</v>
      </c>
      <c r="J280" s="23">
        <v>1907</v>
      </c>
    </row>
    <row r="281" spans="1:10" x14ac:dyDescent="0.3">
      <c r="A281" s="20">
        <v>2873212765</v>
      </c>
      <c r="B281" s="21">
        <v>42486</v>
      </c>
      <c r="C281" s="22" t="s">
        <v>10</v>
      </c>
      <c r="D281" s="22">
        <v>2</v>
      </c>
      <c r="E281" s="22">
        <v>8242</v>
      </c>
      <c r="F281" s="22">
        <v>5.53999996185303</v>
      </c>
      <c r="G281" s="22">
        <v>2</v>
      </c>
      <c r="H281" s="22">
        <v>5</v>
      </c>
      <c r="I281" s="22">
        <v>309</v>
      </c>
      <c r="J281" s="23">
        <v>1882</v>
      </c>
    </row>
    <row r="282" spans="1:10" x14ac:dyDescent="0.3">
      <c r="A282" s="20">
        <v>2873212765</v>
      </c>
      <c r="B282" s="21">
        <v>42487</v>
      </c>
      <c r="C282" s="22" t="s">
        <v>11</v>
      </c>
      <c r="D282" s="22">
        <v>3</v>
      </c>
      <c r="E282" s="22">
        <v>3516</v>
      </c>
      <c r="F282" s="22">
        <v>2.3599998950958301</v>
      </c>
      <c r="G282" s="22">
        <v>46</v>
      </c>
      <c r="H282" s="22">
        <v>0</v>
      </c>
      <c r="I282" s="22">
        <v>197</v>
      </c>
      <c r="J282" s="23">
        <v>1966</v>
      </c>
    </row>
    <row r="283" spans="1:10" x14ac:dyDescent="0.3">
      <c r="A283" s="20">
        <v>2873212765</v>
      </c>
      <c r="B283" s="21">
        <v>42488</v>
      </c>
      <c r="C283" s="22" t="s">
        <v>12</v>
      </c>
      <c r="D283" s="22">
        <v>4</v>
      </c>
      <c r="E283" s="22">
        <v>7913</v>
      </c>
      <c r="F283" s="22">
        <v>5.4099998474121103</v>
      </c>
      <c r="G283" s="22">
        <v>28</v>
      </c>
      <c r="H283" s="22">
        <v>7</v>
      </c>
      <c r="I283" s="22">
        <v>213</v>
      </c>
      <c r="J283" s="23">
        <v>1835</v>
      </c>
    </row>
    <row r="284" spans="1:10" x14ac:dyDescent="0.3">
      <c r="A284" s="20">
        <v>2873212765</v>
      </c>
      <c r="B284" s="21">
        <v>42489</v>
      </c>
      <c r="C284" s="22" t="s">
        <v>13</v>
      </c>
      <c r="D284" s="22">
        <v>5</v>
      </c>
      <c r="E284" s="22">
        <v>7365</v>
      </c>
      <c r="F284" s="22">
        <v>4.9499998092651403</v>
      </c>
      <c r="G284" s="22">
        <v>20</v>
      </c>
      <c r="H284" s="22">
        <v>23</v>
      </c>
      <c r="I284" s="22">
        <v>206</v>
      </c>
      <c r="J284" s="23">
        <v>1780</v>
      </c>
    </row>
    <row r="285" spans="1:10" x14ac:dyDescent="0.3">
      <c r="A285" s="20">
        <v>2873212765</v>
      </c>
      <c r="B285" s="21">
        <v>42490</v>
      </c>
      <c r="C285" s="22" t="s">
        <v>14</v>
      </c>
      <c r="D285" s="22">
        <v>6</v>
      </c>
      <c r="E285" s="22">
        <v>8452</v>
      </c>
      <c r="F285" s="22">
        <v>5.6799998283386204</v>
      </c>
      <c r="G285" s="22">
        <v>5</v>
      </c>
      <c r="H285" s="22">
        <v>20</v>
      </c>
      <c r="I285" s="22">
        <v>248</v>
      </c>
      <c r="J285" s="23">
        <v>1830</v>
      </c>
    </row>
    <row r="286" spans="1:10" x14ac:dyDescent="0.3">
      <c r="A286" s="20">
        <v>2873212765</v>
      </c>
      <c r="B286" s="21">
        <v>42491</v>
      </c>
      <c r="C286" s="22" t="s">
        <v>15</v>
      </c>
      <c r="D286" s="22">
        <v>0</v>
      </c>
      <c r="E286" s="22">
        <v>7399</v>
      </c>
      <c r="F286" s="22">
        <v>4.9699997901916504</v>
      </c>
      <c r="G286" s="22">
        <v>7</v>
      </c>
      <c r="H286" s="22">
        <v>18</v>
      </c>
      <c r="I286" s="22">
        <v>196</v>
      </c>
      <c r="J286" s="23">
        <v>1739</v>
      </c>
    </row>
    <row r="287" spans="1:10" x14ac:dyDescent="0.3">
      <c r="A287" s="20">
        <v>2873212765</v>
      </c>
      <c r="B287" s="21">
        <v>42492</v>
      </c>
      <c r="C287" s="22" t="s">
        <v>16</v>
      </c>
      <c r="D287" s="22">
        <v>1</v>
      </c>
      <c r="E287" s="22">
        <v>7525</v>
      </c>
      <c r="F287" s="22">
        <v>5.0599999427795401</v>
      </c>
      <c r="G287" s="22">
        <v>0</v>
      </c>
      <c r="H287" s="22">
        <v>7</v>
      </c>
      <c r="I287" s="22">
        <v>334</v>
      </c>
      <c r="J287" s="23">
        <v>1878</v>
      </c>
    </row>
    <row r="288" spans="1:10" x14ac:dyDescent="0.3">
      <c r="A288" s="20">
        <v>2873212765</v>
      </c>
      <c r="B288" s="21">
        <v>42493</v>
      </c>
      <c r="C288" s="22" t="s">
        <v>10</v>
      </c>
      <c r="D288" s="22">
        <v>2</v>
      </c>
      <c r="E288" s="22">
        <v>7412</v>
      </c>
      <c r="F288" s="22">
        <v>4.9800000190734899</v>
      </c>
      <c r="G288" s="22">
        <v>1</v>
      </c>
      <c r="H288" s="22">
        <v>6</v>
      </c>
      <c r="I288" s="22">
        <v>363</v>
      </c>
      <c r="J288" s="23">
        <v>1906</v>
      </c>
    </row>
    <row r="289" spans="1:10" x14ac:dyDescent="0.3">
      <c r="A289" s="20">
        <v>2873212765</v>
      </c>
      <c r="B289" s="21">
        <v>42494</v>
      </c>
      <c r="C289" s="22" t="s">
        <v>11</v>
      </c>
      <c r="D289" s="22">
        <v>3</v>
      </c>
      <c r="E289" s="22">
        <v>8278</v>
      </c>
      <c r="F289" s="22">
        <v>5.5599999427795401</v>
      </c>
      <c r="G289" s="22">
        <v>0</v>
      </c>
      <c r="H289" s="22">
        <v>0</v>
      </c>
      <c r="I289" s="22">
        <v>420</v>
      </c>
      <c r="J289" s="23">
        <v>2015</v>
      </c>
    </row>
    <row r="290" spans="1:10" x14ac:dyDescent="0.3">
      <c r="A290" s="20">
        <v>2873212765</v>
      </c>
      <c r="B290" s="21">
        <v>42495</v>
      </c>
      <c r="C290" s="22" t="s">
        <v>12</v>
      </c>
      <c r="D290" s="22">
        <v>4</v>
      </c>
      <c r="E290" s="22">
        <v>8314</v>
      </c>
      <c r="F290" s="22">
        <v>5.6100001335143999</v>
      </c>
      <c r="G290" s="22">
        <v>13</v>
      </c>
      <c r="H290" s="22">
        <v>23</v>
      </c>
      <c r="I290" s="22">
        <v>311</v>
      </c>
      <c r="J290" s="23">
        <v>1971</v>
      </c>
    </row>
    <row r="291" spans="1:10" x14ac:dyDescent="0.3">
      <c r="A291" s="20">
        <v>2873212765</v>
      </c>
      <c r="B291" s="21">
        <v>42496</v>
      </c>
      <c r="C291" s="22" t="s">
        <v>13</v>
      </c>
      <c r="D291" s="22">
        <v>5</v>
      </c>
      <c r="E291" s="22">
        <v>7063</v>
      </c>
      <c r="F291" s="22">
        <v>4.75</v>
      </c>
      <c r="G291" s="22">
        <v>0</v>
      </c>
      <c r="H291" s="22">
        <v>5</v>
      </c>
      <c r="I291" s="22">
        <v>370</v>
      </c>
      <c r="J291" s="23">
        <v>1910</v>
      </c>
    </row>
    <row r="292" spans="1:10" x14ac:dyDescent="0.3">
      <c r="A292" s="20">
        <v>2873212765</v>
      </c>
      <c r="B292" s="21">
        <v>42497</v>
      </c>
      <c r="C292" s="22" t="s">
        <v>14</v>
      </c>
      <c r="D292" s="22">
        <v>6</v>
      </c>
      <c r="E292" s="22">
        <v>4940</v>
      </c>
      <c r="F292" s="22">
        <v>3.3800001144409202</v>
      </c>
      <c r="G292" s="22">
        <v>75</v>
      </c>
      <c r="H292" s="22">
        <v>11</v>
      </c>
      <c r="I292" s="22">
        <v>52</v>
      </c>
      <c r="J292" s="23">
        <v>1897</v>
      </c>
    </row>
    <row r="293" spans="1:10" x14ac:dyDescent="0.3">
      <c r="A293" s="20">
        <v>2873212765</v>
      </c>
      <c r="B293" s="21">
        <v>42498</v>
      </c>
      <c r="C293" s="22" t="s">
        <v>15</v>
      </c>
      <c r="D293" s="22">
        <v>0</v>
      </c>
      <c r="E293" s="22">
        <v>8168</v>
      </c>
      <c r="F293" s="22">
        <v>5.53999996185303</v>
      </c>
      <c r="G293" s="22">
        <v>46</v>
      </c>
      <c r="H293" s="22">
        <v>0</v>
      </c>
      <c r="I293" s="22">
        <v>326</v>
      </c>
      <c r="J293" s="23">
        <v>2096</v>
      </c>
    </row>
    <row r="294" spans="1:10" x14ac:dyDescent="0.3">
      <c r="A294" s="20">
        <v>2873212765</v>
      </c>
      <c r="B294" s="21">
        <v>42499</v>
      </c>
      <c r="C294" s="22" t="s">
        <v>16</v>
      </c>
      <c r="D294" s="22">
        <v>1</v>
      </c>
      <c r="E294" s="22">
        <v>7726</v>
      </c>
      <c r="F294" s="22">
        <v>5.1900000572204599</v>
      </c>
      <c r="G294" s="22">
        <v>0</v>
      </c>
      <c r="H294" s="22">
        <v>0</v>
      </c>
      <c r="I294" s="22">
        <v>345</v>
      </c>
      <c r="J294" s="23">
        <v>1906</v>
      </c>
    </row>
    <row r="295" spans="1:10" x14ac:dyDescent="0.3">
      <c r="A295" s="20">
        <v>2873212765</v>
      </c>
      <c r="B295" s="21">
        <v>42500</v>
      </c>
      <c r="C295" s="22" t="s">
        <v>10</v>
      </c>
      <c r="D295" s="22">
        <v>2</v>
      </c>
      <c r="E295" s="22">
        <v>8275</v>
      </c>
      <c r="F295" s="22">
        <v>5.5599999427795401</v>
      </c>
      <c r="G295" s="22">
        <v>0</v>
      </c>
      <c r="H295" s="22">
        <v>0</v>
      </c>
      <c r="I295" s="22">
        <v>373</v>
      </c>
      <c r="J295" s="23">
        <v>1962</v>
      </c>
    </row>
    <row r="296" spans="1:10" x14ac:dyDescent="0.3">
      <c r="A296" s="20">
        <v>2873212765</v>
      </c>
      <c r="B296" s="21">
        <v>42501</v>
      </c>
      <c r="C296" s="22" t="s">
        <v>11</v>
      </c>
      <c r="D296" s="22">
        <v>3</v>
      </c>
      <c r="E296" s="22">
        <v>6440</v>
      </c>
      <c r="F296" s="22">
        <v>4.3299999237060502</v>
      </c>
      <c r="G296" s="22">
        <v>0</v>
      </c>
      <c r="H296" s="22">
        <v>0</v>
      </c>
      <c r="I296" s="22">
        <v>319</v>
      </c>
      <c r="J296" s="23">
        <v>1826</v>
      </c>
    </row>
    <row r="297" spans="1:10" x14ac:dyDescent="0.3">
      <c r="A297" s="20">
        <v>2873212765</v>
      </c>
      <c r="B297" s="21">
        <v>42502</v>
      </c>
      <c r="C297" s="22" t="s">
        <v>12</v>
      </c>
      <c r="D297" s="22">
        <v>4</v>
      </c>
      <c r="E297" s="22">
        <v>7566</v>
      </c>
      <c r="F297" s="22">
        <v>5.1100001335143999</v>
      </c>
      <c r="G297" s="22">
        <v>0</v>
      </c>
      <c r="H297" s="22">
        <v>0</v>
      </c>
      <c r="I297" s="22">
        <v>268</v>
      </c>
      <c r="J297" s="23">
        <v>1431</v>
      </c>
    </row>
    <row r="298" spans="1:10" x14ac:dyDescent="0.3">
      <c r="A298" s="20">
        <v>3372868164</v>
      </c>
      <c r="B298" s="21">
        <v>42472</v>
      </c>
      <c r="C298" s="22" t="s">
        <v>10</v>
      </c>
      <c r="D298" s="22">
        <v>2</v>
      </c>
      <c r="E298" s="22">
        <v>4747</v>
      </c>
      <c r="F298" s="22">
        <v>3.2400000095367401</v>
      </c>
      <c r="G298" s="22">
        <v>0</v>
      </c>
      <c r="H298" s="22">
        <v>0</v>
      </c>
      <c r="I298" s="22">
        <v>280</v>
      </c>
      <c r="J298" s="23">
        <v>1788</v>
      </c>
    </row>
    <row r="299" spans="1:10" x14ac:dyDescent="0.3">
      <c r="A299" s="20">
        <v>3372868164</v>
      </c>
      <c r="B299" s="21">
        <v>42473</v>
      </c>
      <c r="C299" s="22" t="s">
        <v>11</v>
      </c>
      <c r="D299" s="22">
        <v>3</v>
      </c>
      <c r="E299" s="22">
        <v>9715</v>
      </c>
      <c r="F299" s="22">
        <v>6.6300001144409197</v>
      </c>
      <c r="G299" s="22">
        <v>16</v>
      </c>
      <c r="H299" s="22">
        <v>8</v>
      </c>
      <c r="I299" s="22">
        <v>371</v>
      </c>
      <c r="J299" s="23">
        <v>2093</v>
      </c>
    </row>
    <row r="300" spans="1:10" x14ac:dyDescent="0.3">
      <c r="A300" s="20">
        <v>3372868164</v>
      </c>
      <c r="B300" s="21">
        <v>42474</v>
      </c>
      <c r="C300" s="22" t="s">
        <v>12</v>
      </c>
      <c r="D300" s="22">
        <v>4</v>
      </c>
      <c r="E300" s="22">
        <v>8844</v>
      </c>
      <c r="F300" s="22">
        <v>6.0300002098083496</v>
      </c>
      <c r="G300" s="22">
        <v>6</v>
      </c>
      <c r="H300" s="22">
        <v>25</v>
      </c>
      <c r="I300" s="22">
        <v>370</v>
      </c>
      <c r="J300" s="23">
        <v>2065</v>
      </c>
    </row>
    <row r="301" spans="1:10" x14ac:dyDescent="0.3">
      <c r="A301" s="20">
        <v>3372868164</v>
      </c>
      <c r="B301" s="21">
        <v>42475</v>
      </c>
      <c r="C301" s="22" t="s">
        <v>13</v>
      </c>
      <c r="D301" s="22">
        <v>5</v>
      </c>
      <c r="E301" s="22">
        <v>7451</v>
      </c>
      <c r="F301" s="22">
        <v>5.0799999237060502</v>
      </c>
      <c r="G301" s="22">
        <v>0</v>
      </c>
      <c r="H301" s="22">
        <v>0</v>
      </c>
      <c r="I301" s="22">
        <v>335</v>
      </c>
      <c r="J301" s="23">
        <v>1908</v>
      </c>
    </row>
    <row r="302" spans="1:10" x14ac:dyDescent="0.3">
      <c r="A302" s="20">
        <v>3372868164</v>
      </c>
      <c r="B302" s="21">
        <v>42476</v>
      </c>
      <c r="C302" s="22" t="s">
        <v>14</v>
      </c>
      <c r="D302" s="22">
        <v>6</v>
      </c>
      <c r="E302" s="22">
        <v>6905</v>
      </c>
      <c r="F302" s="22">
        <v>4.7300000190734899</v>
      </c>
      <c r="G302" s="22">
        <v>0</v>
      </c>
      <c r="H302" s="22">
        <v>0</v>
      </c>
      <c r="I302" s="22">
        <v>356</v>
      </c>
      <c r="J302" s="23">
        <v>1908</v>
      </c>
    </row>
    <row r="303" spans="1:10" x14ac:dyDescent="0.3">
      <c r="A303" s="20">
        <v>3372868164</v>
      </c>
      <c r="B303" s="21">
        <v>42477</v>
      </c>
      <c r="C303" s="22" t="s">
        <v>15</v>
      </c>
      <c r="D303" s="22">
        <v>0</v>
      </c>
      <c r="E303" s="22">
        <v>8199</v>
      </c>
      <c r="F303" s="22">
        <v>5.8800001144409197</v>
      </c>
      <c r="G303" s="22">
        <v>11</v>
      </c>
      <c r="H303" s="22">
        <v>2</v>
      </c>
      <c r="I303" s="22">
        <v>322</v>
      </c>
      <c r="J303" s="23">
        <v>1964</v>
      </c>
    </row>
    <row r="304" spans="1:10" x14ac:dyDescent="0.3">
      <c r="A304" s="20">
        <v>3372868164</v>
      </c>
      <c r="B304" s="21">
        <v>42478</v>
      </c>
      <c r="C304" s="22" t="s">
        <v>16</v>
      </c>
      <c r="D304" s="22">
        <v>1</v>
      </c>
      <c r="E304" s="22">
        <v>6798</v>
      </c>
      <c r="F304" s="22">
        <v>4.6399998664856001</v>
      </c>
      <c r="G304" s="22">
        <v>20</v>
      </c>
      <c r="H304" s="22">
        <v>7</v>
      </c>
      <c r="I304" s="22">
        <v>343</v>
      </c>
      <c r="J304" s="23">
        <v>2014</v>
      </c>
    </row>
    <row r="305" spans="1:10" x14ac:dyDescent="0.3">
      <c r="A305" s="20">
        <v>3372868164</v>
      </c>
      <c r="B305" s="21">
        <v>42479</v>
      </c>
      <c r="C305" s="22" t="s">
        <v>10</v>
      </c>
      <c r="D305" s="22">
        <v>2</v>
      </c>
      <c r="E305" s="22">
        <v>7711</v>
      </c>
      <c r="F305" s="22">
        <v>5.2600002288818404</v>
      </c>
      <c r="G305" s="22">
        <v>0</v>
      </c>
      <c r="H305" s="22">
        <v>0</v>
      </c>
      <c r="I305" s="22">
        <v>376</v>
      </c>
      <c r="J305" s="23">
        <v>1985</v>
      </c>
    </row>
    <row r="306" spans="1:10" x14ac:dyDescent="0.3">
      <c r="A306" s="20">
        <v>3372868164</v>
      </c>
      <c r="B306" s="21">
        <v>42480</v>
      </c>
      <c r="C306" s="22" t="s">
        <v>11</v>
      </c>
      <c r="D306" s="22">
        <v>3</v>
      </c>
      <c r="E306" s="22">
        <v>4880</v>
      </c>
      <c r="F306" s="22">
        <v>3.3299999237060498</v>
      </c>
      <c r="G306" s="22">
        <v>15</v>
      </c>
      <c r="H306" s="22">
        <v>3</v>
      </c>
      <c r="I306" s="22">
        <v>274</v>
      </c>
      <c r="J306" s="23">
        <v>1867</v>
      </c>
    </row>
    <row r="307" spans="1:10" x14ac:dyDescent="0.3">
      <c r="A307" s="20">
        <v>3372868164</v>
      </c>
      <c r="B307" s="21">
        <v>42481</v>
      </c>
      <c r="C307" s="22" t="s">
        <v>12</v>
      </c>
      <c r="D307" s="22">
        <v>4</v>
      </c>
      <c r="E307" s="22">
        <v>8857</v>
      </c>
      <c r="F307" s="22">
        <v>6.0700001716613796</v>
      </c>
      <c r="G307" s="22">
        <v>18</v>
      </c>
      <c r="H307" s="22">
        <v>9</v>
      </c>
      <c r="I307" s="22">
        <v>376</v>
      </c>
      <c r="J307" s="23">
        <v>2124</v>
      </c>
    </row>
    <row r="308" spans="1:10" x14ac:dyDescent="0.3">
      <c r="A308" s="20">
        <v>3372868164</v>
      </c>
      <c r="B308" s="21">
        <v>42482</v>
      </c>
      <c r="C308" s="22" t="s">
        <v>13</v>
      </c>
      <c r="D308" s="22">
        <v>5</v>
      </c>
      <c r="E308" s="22">
        <v>3843</v>
      </c>
      <c r="F308" s="22">
        <v>2.6199998855590798</v>
      </c>
      <c r="G308" s="22">
        <v>0</v>
      </c>
      <c r="H308" s="22">
        <v>0</v>
      </c>
      <c r="I308" s="22">
        <v>206</v>
      </c>
      <c r="J308" s="23">
        <v>1669</v>
      </c>
    </row>
    <row r="309" spans="1:10" x14ac:dyDescent="0.3">
      <c r="A309" s="20">
        <v>3372868164</v>
      </c>
      <c r="B309" s="21">
        <v>42483</v>
      </c>
      <c r="C309" s="22" t="s">
        <v>14</v>
      </c>
      <c r="D309" s="22">
        <v>6</v>
      </c>
      <c r="E309" s="22">
        <v>7396</v>
      </c>
      <c r="F309" s="22">
        <v>5.0700001716613796</v>
      </c>
      <c r="G309" s="22">
        <v>20</v>
      </c>
      <c r="H309" s="22">
        <v>2</v>
      </c>
      <c r="I309" s="22">
        <v>303</v>
      </c>
      <c r="J309" s="23">
        <v>1995</v>
      </c>
    </row>
    <row r="310" spans="1:10" x14ac:dyDescent="0.3">
      <c r="A310" s="20">
        <v>3372868164</v>
      </c>
      <c r="B310" s="21">
        <v>42484</v>
      </c>
      <c r="C310" s="22" t="s">
        <v>15</v>
      </c>
      <c r="D310" s="22">
        <v>0</v>
      </c>
      <c r="E310" s="22">
        <v>6731</v>
      </c>
      <c r="F310" s="22">
        <v>4.5900001525878897</v>
      </c>
      <c r="G310" s="22">
        <v>14</v>
      </c>
      <c r="H310" s="22">
        <v>7</v>
      </c>
      <c r="I310" s="22">
        <v>292</v>
      </c>
      <c r="J310" s="23">
        <v>1921</v>
      </c>
    </row>
    <row r="311" spans="1:10" x14ac:dyDescent="0.3">
      <c r="A311" s="20">
        <v>3372868164</v>
      </c>
      <c r="B311" s="21">
        <v>42485</v>
      </c>
      <c r="C311" s="22" t="s">
        <v>16</v>
      </c>
      <c r="D311" s="22">
        <v>1</v>
      </c>
      <c r="E311" s="22">
        <v>5995</v>
      </c>
      <c r="F311" s="22">
        <v>4.0900001525878897</v>
      </c>
      <c r="G311" s="22">
        <v>0</v>
      </c>
      <c r="H311" s="22">
        <v>0</v>
      </c>
      <c r="I311" s="22">
        <v>416</v>
      </c>
      <c r="J311" s="23">
        <v>2010</v>
      </c>
    </row>
    <row r="312" spans="1:10" x14ac:dyDescent="0.3">
      <c r="A312" s="20">
        <v>3372868164</v>
      </c>
      <c r="B312" s="21">
        <v>42486</v>
      </c>
      <c r="C312" s="22" t="s">
        <v>10</v>
      </c>
      <c r="D312" s="22">
        <v>2</v>
      </c>
      <c r="E312" s="22">
        <v>8283</v>
      </c>
      <c r="F312" s="22">
        <v>5.78999996185303</v>
      </c>
      <c r="G312" s="22">
        <v>22</v>
      </c>
      <c r="H312" s="22">
        <v>2</v>
      </c>
      <c r="I312" s="22">
        <v>333</v>
      </c>
      <c r="J312" s="23">
        <v>2057</v>
      </c>
    </row>
    <row r="313" spans="1:10" x14ac:dyDescent="0.3">
      <c r="A313" s="20">
        <v>3372868164</v>
      </c>
      <c r="B313" s="21">
        <v>42487</v>
      </c>
      <c r="C313" s="22" t="s">
        <v>11</v>
      </c>
      <c r="D313" s="22">
        <v>3</v>
      </c>
      <c r="E313" s="22">
        <v>7904</v>
      </c>
      <c r="F313" s="22">
        <v>5.4200000762939498</v>
      </c>
      <c r="G313" s="22">
        <v>24</v>
      </c>
      <c r="H313" s="22">
        <v>13</v>
      </c>
      <c r="I313" s="22">
        <v>346</v>
      </c>
      <c r="J313" s="23">
        <v>2095</v>
      </c>
    </row>
    <row r="314" spans="1:10" x14ac:dyDescent="0.3">
      <c r="A314" s="20">
        <v>3372868164</v>
      </c>
      <c r="B314" s="21">
        <v>42488</v>
      </c>
      <c r="C314" s="22" t="s">
        <v>12</v>
      </c>
      <c r="D314" s="22">
        <v>4</v>
      </c>
      <c r="E314" s="22">
        <v>5512</v>
      </c>
      <c r="F314" s="22">
        <v>3.7599999904632599</v>
      </c>
      <c r="G314" s="22">
        <v>0</v>
      </c>
      <c r="H314" s="22">
        <v>0</v>
      </c>
      <c r="I314" s="22">
        <v>385</v>
      </c>
      <c r="J314" s="23">
        <v>1972</v>
      </c>
    </row>
    <row r="315" spans="1:10" x14ac:dyDescent="0.3">
      <c r="A315" s="20">
        <v>3372868164</v>
      </c>
      <c r="B315" s="21">
        <v>42489</v>
      </c>
      <c r="C315" s="22" t="s">
        <v>13</v>
      </c>
      <c r="D315" s="22">
        <v>5</v>
      </c>
      <c r="E315" s="22">
        <v>9135</v>
      </c>
      <c r="F315" s="22">
        <v>6.2300000190734899</v>
      </c>
      <c r="G315" s="22">
        <v>0</v>
      </c>
      <c r="H315" s="22">
        <v>0</v>
      </c>
      <c r="I315" s="22">
        <v>402</v>
      </c>
      <c r="J315" s="23">
        <v>2044</v>
      </c>
    </row>
    <row r="316" spans="1:10" x14ac:dyDescent="0.3">
      <c r="A316" s="20">
        <v>3372868164</v>
      </c>
      <c r="B316" s="21">
        <v>42490</v>
      </c>
      <c r="C316" s="22" t="s">
        <v>14</v>
      </c>
      <c r="D316" s="22">
        <v>6</v>
      </c>
      <c r="E316" s="22">
        <v>5250</v>
      </c>
      <c r="F316" s="22">
        <v>3.5799999237060498</v>
      </c>
      <c r="G316" s="22">
        <v>17</v>
      </c>
      <c r="H316" s="22">
        <v>4</v>
      </c>
      <c r="I316" s="22">
        <v>300</v>
      </c>
      <c r="J316" s="23">
        <v>1946</v>
      </c>
    </row>
    <row r="317" spans="1:10" x14ac:dyDescent="0.3">
      <c r="A317" s="20">
        <v>3372868164</v>
      </c>
      <c r="B317" s="21">
        <v>42491</v>
      </c>
      <c r="C317" s="22" t="s">
        <v>15</v>
      </c>
      <c r="D317" s="22">
        <v>0</v>
      </c>
      <c r="E317" s="22">
        <v>3077</v>
      </c>
      <c r="F317" s="22">
        <v>2.0999999046325701</v>
      </c>
      <c r="G317" s="22">
        <v>0</v>
      </c>
      <c r="H317" s="22">
        <v>0</v>
      </c>
      <c r="I317" s="22">
        <v>172</v>
      </c>
      <c r="J317" s="23">
        <v>1237</v>
      </c>
    </row>
    <row r="318" spans="1:10" x14ac:dyDescent="0.3">
      <c r="A318" s="20">
        <v>3977333714</v>
      </c>
      <c r="B318" s="21">
        <v>42472</v>
      </c>
      <c r="C318" s="22" t="s">
        <v>10</v>
      </c>
      <c r="D318" s="22">
        <v>2</v>
      </c>
      <c r="E318" s="22">
        <v>8856</v>
      </c>
      <c r="F318" s="22">
        <v>5.9800000190734899</v>
      </c>
      <c r="G318" s="22">
        <v>44</v>
      </c>
      <c r="H318" s="22">
        <v>19</v>
      </c>
      <c r="I318" s="22">
        <v>131</v>
      </c>
      <c r="J318" s="23">
        <v>1450</v>
      </c>
    </row>
    <row r="319" spans="1:10" x14ac:dyDescent="0.3">
      <c r="A319" s="20">
        <v>3977333714</v>
      </c>
      <c r="B319" s="21">
        <v>42473</v>
      </c>
      <c r="C319" s="22" t="s">
        <v>11</v>
      </c>
      <c r="D319" s="22">
        <v>3</v>
      </c>
      <c r="E319" s="22">
        <v>10035</v>
      </c>
      <c r="F319" s="22">
        <v>6.71000003814697</v>
      </c>
      <c r="G319" s="22">
        <v>31</v>
      </c>
      <c r="H319" s="22">
        <v>46</v>
      </c>
      <c r="I319" s="22">
        <v>153</v>
      </c>
      <c r="J319" s="23">
        <v>1495</v>
      </c>
    </row>
    <row r="320" spans="1:10" x14ac:dyDescent="0.3">
      <c r="A320" s="20">
        <v>3977333714</v>
      </c>
      <c r="B320" s="21">
        <v>42474</v>
      </c>
      <c r="C320" s="22" t="s">
        <v>12</v>
      </c>
      <c r="D320" s="22">
        <v>4</v>
      </c>
      <c r="E320" s="22">
        <v>7641</v>
      </c>
      <c r="F320" s="22">
        <v>5.1100001335143999</v>
      </c>
      <c r="G320" s="22">
        <v>5</v>
      </c>
      <c r="H320" s="22">
        <v>23</v>
      </c>
      <c r="I320" s="22">
        <v>214</v>
      </c>
      <c r="J320" s="23">
        <v>1433</v>
      </c>
    </row>
    <row r="321" spans="1:10" x14ac:dyDescent="0.3">
      <c r="A321" s="20">
        <v>3977333714</v>
      </c>
      <c r="B321" s="21">
        <v>42475</v>
      </c>
      <c r="C321" s="22" t="s">
        <v>13</v>
      </c>
      <c r="D321" s="22">
        <v>5</v>
      </c>
      <c r="E321" s="22">
        <v>9010</v>
      </c>
      <c r="F321" s="22">
        <v>6.0599999427795401</v>
      </c>
      <c r="G321" s="22">
        <v>15</v>
      </c>
      <c r="H321" s="22">
        <v>42</v>
      </c>
      <c r="I321" s="22">
        <v>183</v>
      </c>
      <c r="J321" s="23">
        <v>1468</v>
      </c>
    </row>
    <row r="322" spans="1:10" x14ac:dyDescent="0.3">
      <c r="A322" s="20">
        <v>3977333714</v>
      </c>
      <c r="B322" s="21">
        <v>42476</v>
      </c>
      <c r="C322" s="22" t="s">
        <v>14</v>
      </c>
      <c r="D322" s="22">
        <v>6</v>
      </c>
      <c r="E322" s="22">
        <v>13459</v>
      </c>
      <c r="F322" s="22">
        <v>9</v>
      </c>
      <c r="G322" s="22">
        <v>31</v>
      </c>
      <c r="H322" s="22">
        <v>83</v>
      </c>
      <c r="I322" s="22">
        <v>153</v>
      </c>
      <c r="J322" s="23">
        <v>1625</v>
      </c>
    </row>
    <row r="323" spans="1:10" x14ac:dyDescent="0.3">
      <c r="A323" s="20">
        <v>3977333714</v>
      </c>
      <c r="B323" s="21">
        <v>42477</v>
      </c>
      <c r="C323" s="22" t="s">
        <v>15</v>
      </c>
      <c r="D323" s="22">
        <v>0</v>
      </c>
      <c r="E323" s="22">
        <v>10415</v>
      </c>
      <c r="F323" s="22">
        <v>6.9699997901916504</v>
      </c>
      <c r="G323" s="22">
        <v>11</v>
      </c>
      <c r="H323" s="22">
        <v>58</v>
      </c>
      <c r="I323" s="22">
        <v>205</v>
      </c>
      <c r="J323" s="23">
        <v>1529</v>
      </c>
    </row>
    <row r="324" spans="1:10" x14ac:dyDescent="0.3">
      <c r="A324" s="20">
        <v>3977333714</v>
      </c>
      <c r="B324" s="21">
        <v>42478</v>
      </c>
      <c r="C324" s="22" t="s">
        <v>16</v>
      </c>
      <c r="D324" s="22">
        <v>1</v>
      </c>
      <c r="E324" s="22">
        <v>11663</v>
      </c>
      <c r="F324" s="22">
        <v>7.8000001907348597</v>
      </c>
      <c r="G324" s="22">
        <v>4</v>
      </c>
      <c r="H324" s="22">
        <v>95</v>
      </c>
      <c r="I324" s="22">
        <v>214</v>
      </c>
      <c r="J324" s="23">
        <v>1584</v>
      </c>
    </row>
    <row r="325" spans="1:10" x14ac:dyDescent="0.3">
      <c r="A325" s="20">
        <v>3977333714</v>
      </c>
      <c r="B325" s="21">
        <v>42479</v>
      </c>
      <c r="C325" s="22" t="s">
        <v>10</v>
      </c>
      <c r="D325" s="22">
        <v>2</v>
      </c>
      <c r="E325" s="22">
        <v>12414</v>
      </c>
      <c r="F325" s="22">
        <v>8.7799997329711896</v>
      </c>
      <c r="G325" s="22">
        <v>19</v>
      </c>
      <c r="H325" s="22">
        <v>67</v>
      </c>
      <c r="I325" s="22">
        <v>221</v>
      </c>
      <c r="J325" s="23">
        <v>1638</v>
      </c>
    </row>
    <row r="326" spans="1:10" x14ac:dyDescent="0.3">
      <c r="A326" s="20">
        <v>3977333714</v>
      </c>
      <c r="B326" s="21">
        <v>42480</v>
      </c>
      <c r="C326" s="22" t="s">
        <v>11</v>
      </c>
      <c r="D326" s="22">
        <v>3</v>
      </c>
      <c r="E326" s="22">
        <v>11658</v>
      </c>
      <c r="F326" s="22">
        <v>7.8299999237060502</v>
      </c>
      <c r="G326" s="22">
        <v>2</v>
      </c>
      <c r="H326" s="22">
        <v>98</v>
      </c>
      <c r="I326" s="22">
        <v>164</v>
      </c>
      <c r="J326" s="23">
        <v>1554</v>
      </c>
    </row>
    <row r="327" spans="1:10" x14ac:dyDescent="0.3">
      <c r="A327" s="20">
        <v>3977333714</v>
      </c>
      <c r="B327" s="21">
        <v>42481</v>
      </c>
      <c r="C327" s="22" t="s">
        <v>12</v>
      </c>
      <c r="D327" s="22">
        <v>4</v>
      </c>
      <c r="E327" s="22">
        <v>6093</v>
      </c>
      <c r="F327" s="22">
        <v>4.0799999237060502</v>
      </c>
      <c r="G327" s="22">
        <v>0</v>
      </c>
      <c r="H327" s="22">
        <v>0</v>
      </c>
      <c r="I327" s="22">
        <v>242</v>
      </c>
      <c r="J327" s="23">
        <v>1397</v>
      </c>
    </row>
    <row r="328" spans="1:10" x14ac:dyDescent="0.3">
      <c r="A328" s="20">
        <v>3977333714</v>
      </c>
      <c r="B328" s="21">
        <v>42482</v>
      </c>
      <c r="C328" s="22" t="s">
        <v>13</v>
      </c>
      <c r="D328" s="22">
        <v>5</v>
      </c>
      <c r="E328" s="22">
        <v>8911</v>
      </c>
      <c r="F328" s="22">
        <v>5.96000003814697</v>
      </c>
      <c r="G328" s="22">
        <v>33</v>
      </c>
      <c r="H328" s="22">
        <v>12</v>
      </c>
      <c r="I328" s="22">
        <v>188</v>
      </c>
      <c r="J328" s="23">
        <v>1481</v>
      </c>
    </row>
    <row r="329" spans="1:10" x14ac:dyDescent="0.3">
      <c r="A329" s="20">
        <v>3977333714</v>
      </c>
      <c r="B329" s="21">
        <v>42483</v>
      </c>
      <c r="C329" s="22" t="s">
        <v>14</v>
      </c>
      <c r="D329" s="22">
        <v>6</v>
      </c>
      <c r="E329" s="22">
        <v>12058</v>
      </c>
      <c r="F329" s="22">
        <v>8.0699996948242205</v>
      </c>
      <c r="G329" s="22">
        <v>0</v>
      </c>
      <c r="H329" s="22">
        <v>92</v>
      </c>
      <c r="I329" s="22">
        <v>252</v>
      </c>
      <c r="J329" s="23">
        <v>1638</v>
      </c>
    </row>
    <row r="330" spans="1:10" x14ac:dyDescent="0.3">
      <c r="A330" s="20">
        <v>3977333714</v>
      </c>
      <c r="B330" s="21">
        <v>42484</v>
      </c>
      <c r="C330" s="22" t="s">
        <v>15</v>
      </c>
      <c r="D330" s="22">
        <v>0</v>
      </c>
      <c r="E330" s="22">
        <v>14112</v>
      </c>
      <c r="F330" s="22">
        <v>10</v>
      </c>
      <c r="G330" s="22">
        <v>30</v>
      </c>
      <c r="H330" s="22">
        <v>95</v>
      </c>
      <c r="I330" s="22">
        <v>129</v>
      </c>
      <c r="J330" s="23">
        <v>1655</v>
      </c>
    </row>
    <row r="331" spans="1:10" x14ac:dyDescent="0.3">
      <c r="A331" s="20">
        <v>3977333714</v>
      </c>
      <c r="B331" s="21">
        <v>42485</v>
      </c>
      <c r="C331" s="22" t="s">
        <v>16</v>
      </c>
      <c r="D331" s="22">
        <v>1</v>
      </c>
      <c r="E331" s="22">
        <v>11177</v>
      </c>
      <c r="F331" s="22">
        <v>8.4799995422363299</v>
      </c>
      <c r="G331" s="22">
        <v>50</v>
      </c>
      <c r="H331" s="22">
        <v>9</v>
      </c>
      <c r="I331" s="22">
        <v>133</v>
      </c>
      <c r="J331" s="23">
        <v>1570</v>
      </c>
    </row>
    <row r="332" spans="1:10" x14ac:dyDescent="0.3">
      <c r="A332" s="20">
        <v>3977333714</v>
      </c>
      <c r="B332" s="21">
        <v>42486</v>
      </c>
      <c r="C332" s="22" t="s">
        <v>10</v>
      </c>
      <c r="D332" s="22">
        <v>2</v>
      </c>
      <c r="E332" s="22">
        <v>11388</v>
      </c>
      <c r="F332" s="22">
        <v>7.6199998855590803</v>
      </c>
      <c r="G332" s="22">
        <v>7</v>
      </c>
      <c r="H332" s="22">
        <v>95</v>
      </c>
      <c r="I332" s="22">
        <v>170</v>
      </c>
      <c r="J332" s="23">
        <v>1551</v>
      </c>
    </row>
    <row r="333" spans="1:10" x14ac:dyDescent="0.3">
      <c r="A333" s="20">
        <v>3977333714</v>
      </c>
      <c r="B333" s="21">
        <v>42487</v>
      </c>
      <c r="C333" s="22" t="s">
        <v>11</v>
      </c>
      <c r="D333" s="22">
        <v>3</v>
      </c>
      <c r="E333" s="22">
        <v>7193</v>
      </c>
      <c r="F333" s="22">
        <v>5.03999996185303</v>
      </c>
      <c r="G333" s="22">
        <v>0</v>
      </c>
      <c r="H333" s="22">
        <v>10</v>
      </c>
      <c r="I333" s="22">
        <v>176</v>
      </c>
      <c r="J333" s="23">
        <v>1377</v>
      </c>
    </row>
    <row r="334" spans="1:10" x14ac:dyDescent="0.3">
      <c r="A334" s="20">
        <v>3977333714</v>
      </c>
      <c r="B334" s="21">
        <v>42488</v>
      </c>
      <c r="C334" s="22" t="s">
        <v>12</v>
      </c>
      <c r="D334" s="22">
        <v>4</v>
      </c>
      <c r="E334" s="22">
        <v>7114</v>
      </c>
      <c r="F334" s="22">
        <v>4.8800001144409197</v>
      </c>
      <c r="G334" s="22">
        <v>15</v>
      </c>
      <c r="H334" s="22">
        <v>8</v>
      </c>
      <c r="I334" s="22">
        <v>190</v>
      </c>
      <c r="J334" s="23">
        <v>1407</v>
      </c>
    </row>
    <row r="335" spans="1:10" x14ac:dyDescent="0.3">
      <c r="A335" s="20">
        <v>3977333714</v>
      </c>
      <c r="B335" s="21">
        <v>42489</v>
      </c>
      <c r="C335" s="22" t="s">
        <v>13</v>
      </c>
      <c r="D335" s="22">
        <v>5</v>
      </c>
      <c r="E335" s="22">
        <v>10645</v>
      </c>
      <c r="F335" s="22">
        <v>7.75</v>
      </c>
      <c r="G335" s="22">
        <v>36</v>
      </c>
      <c r="H335" s="22">
        <v>32</v>
      </c>
      <c r="I335" s="22">
        <v>150</v>
      </c>
      <c r="J335" s="23">
        <v>1545</v>
      </c>
    </row>
    <row r="336" spans="1:10" x14ac:dyDescent="0.3">
      <c r="A336" s="20">
        <v>3977333714</v>
      </c>
      <c r="B336" s="21">
        <v>42490</v>
      </c>
      <c r="C336" s="22" t="s">
        <v>14</v>
      </c>
      <c r="D336" s="22">
        <v>6</v>
      </c>
      <c r="E336" s="22">
        <v>13238</v>
      </c>
      <c r="F336" s="22">
        <v>9.1999998092651403</v>
      </c>
      <c r="G336" s="22">
        <v>43</v>
      </c>
      <c r="H336" s="22">
        <v>52</v>
      </c>
      <c r="I336" s="22">
        <v>194</v>
      </c>
      <c r="J336" s="23">
        <v>1650</v>
      </c>
    </row>
    <row r="337" spans="1:10" x14ac:dyDescent="0.3">
      <c r="A337" s="20">
        <v>3977333714</v>
      </c>
      <c r="B337" s="21">
        <v>42491</v>
      </c>
      <c r="C337" s="22" t="s">
        <v>15</v>
      </c>
      <c r="D337" s="22">
        <v>0</v>
      </c>
      <c r="E337" s="22">
        <v>10414</v>
      </c>
      <c r="F337" s="22">
        <v>7.0700001716613796</v>
      </c>
      <c r="G337" s="22">
        <v>41</v>
      </c>
      <c r="H337" s="22">
        <v>40</v>
      </c>
      <c r="I337" s="22">
        <v>124</v>
      </c>
      <c r="J337" s="23">
        <v>1501</v>
      </c>
    </row>
    <row r="338" spans="1:10" x14ac:dyDescent="0.3">
      <c r="A338" s="20">
        <v>3977333714</v>
      </c>
      <c r="B338" s="21">
        <v>42492</v>
      </c>
      <c r="C338" s="22" t="s">
        <v>16</v>
      </c>
      <c r="D338" s="22">
        <v>1</v>
      </c>
      <c r="E338" s="22">
        <v>16520</v>
      </c>
      <c r="F338" s="22">
        <v>11.050000190734901</v>
      </c>
      <c r="G338" s="22">
        <v>24</v>
      </c>
      <c r="H338" s="22">
        <v>143</v>
      </c>
      <c r="I338" s="22">
        <v>176</v>
      </c>
      <c r="J338" s="23">
        <v>1760</v>
      </c>
    </row>
    <row r="339" spans="1:10" x14ac:dyDescent="0.3">
      <c r="A339" s="20">
        <v>3977333714</v>
      </c>
      <c r="B339" s="21">
        <v>42493</v>
      </c>
      <c r="C339" s="22" t="s">
        <v>10</v>
      </c>
      <c r="D339" s="22">
        <v>2</v>
      </c>
      <c r="E339" s="22">
        <v>14335</v>
      </c>
      <c r="F339" s="22">
        <v>9.5900001525878906</v>
      </c>
      <c r="G339" s="22">
        <v>47</v>
      </c>
      <c r="H339" s="22">
        <v>41</v>
      </c>
      <c r="I339" s="22">
        <v>258</v>
      </c>
      <c r="J339" s="23">
        <v>1710</v>
      </c>
    </row>
    <row r="340" spans="1:10" x14ac:dyDescent="0.3">
      <c r="A340" s="20">
        <v>3977333714</v>
      </c>
      <c r="B340" s="21">
        <v>42494</v>
      </c>
      <c r="C340" s="22" t="s">
        <v>11</v>
      </c>
      <c r="D340" s="22">
        <v>3</v>
      </c>
      <c r="E340" s="22">
        <v>13559</v>
      </c>
      <c r="F340" s="22">
        <v>9.4399995803833008</v>
      </c>
      <c r="G340" s="22">
        <v>14</v>
      </c>
      <c r="H340" s="22">
        <v>96</v>
      </c>
      <c r="I340" s="22">
        <v>142</v>
      </c>
      <c r="J340" s="23">
        <v>1628</v>
      </c>
    </row>
    <row r="341" spans="1:10" x14ac:dyDescent="0.3">
      <c r="A341" s="20">
        <v>3977333714</v>
      </c>
      <c r="B341" s="21">
        <v>42495</v>
      </c>
      <c r="C341" s="22" t="s">
        <v>12</v>
      </c>
      <c r="D341" s="22">
        <v>4</v>
      </c>
      <c r="E341" s="22">
        <v>12312</v>
      </c>
      <c r="F341" s="22">
        <v>8.5799999237060494</v>
      </c>
      <c r="G341" s="22">
        <v>14</v>
      </c>
      <c r="H341" s="22">
        <v>88</v>
      </c>
      <c r="I341" s="22">
        <v>178</v>
      </c>
      <c r="J341" s="23">
        <v>1618</v>
      </c>
    </row>
    <row r="342" spans="1:10" x14ac:dyDescent="0.3">
      <c r="A342" s="20">
        <v>3977333714</v>
      </c>
      <c r="B342" s="21">
        <v>42496</v>
      </c>
      <c r="C342" s="22" t="s">
        <v>13</v>
      </c>
      <c r="D342" s="22">
        <v>5</v>
      </c>
      <c r="E342" s="22">
        <v>11677</v>
      </c>
      <c r="F342" s="22">
        <v>8.2799997329711896</v>
      </c>
      <c r="G342" s="22">
        <v>29</v>
      </c>
      <c r="H342" s="22">
        <v>55</v>
      </c>
      <c r="I342" s="22">
        <v>168</v>
      </c>
      <c r="J342" s="23">
        <v>1590</v>
      </c>
    </row>
    <row r="343" spans="1:10" x14ac:dyDescent="0.3">
      <c r="A343" s="20">
        <v>3977333714</v>
      </c>
      <c r="B343" s="21">
        <v>42497</v>
      </c>
      <c r="C343" s="22" t="s">
        <v>14</v>
      </c>
      <c r="D343" s="22">
        <v>6</v>
      </c>
      <c r="E343" s="22">
        <v>11550</v>
      </c>
      <c r="F343" s="22">
        <v>7.7300000190734899</v>
      </c>
      <c r="G343" s="22">
        <v>0</v>
      </c>
      <c r="H343" s="22">
        <v>86</v>
      </c>
      <c r="I343" s="22">
        <v>208</v>
      </c>
      <c r="J343" s="23">
        <v>1574</v>
      </c>
    </row>
    <row r="344" spans="1:10" x14ac:dyDescent="0.3">
      <c r="A344" s="20">
        <v>3977333714</v>
      </c>
      <c r="B344" s="21">
        <v>42498</v>
      </c>
      <c r="C344" s="22" t="s">
        <v>15</v>
      </c>
      <c r="D344" s="22">
        <v>0</v>
      </c>
      <c r="E344" s="22">
        <v>13585</v>
      </c>
      <c r="F344" s="22">
        <v>9.0900001525878906</v>
      </c>
      <c r="G344" s="22">
        <v>9</v>
      </c>
      <c r="H344" s="22">
        <v>116</v>
      </c>
      <c r="I344" s="22">
        <v>171</v>
      </c>
      <c r="J344" s="23">
        <v>1633</v>
      </c>
    </row>
    <row r="345" spans="1:10" x14ac:dyDescent="0.3">
      <c r="A345" s="20">
        <v>3977333714</v>
      </c>
      <c r="B345" s="21">
        <v>42499</v>
      </c>
      <c r="C345" s="22" t="s">
        <v>16</v>
      </c>
      <c r="D345" s="22">
        <v>1</v>
      </c>
      <c r="E345" s="22">
        <v>14687</v>
      </c>
      <c r="F345" s="22">
        <v>10.079999923706101</v>
      </c>
      <c r="G345" s="22">
        <v>8</v>
      </c>
      <c r="H345" s="22">
        <v>122</v>
      </c>
      <c r="I345" s="22">
        <v>151</v>
      </c>
      <c r="J345" s="23">
        <v>1667</v>
      </c>
    </row>
    <row r="346" spans="1:10" x14ac:dyDescent="0.3">
      <c r="A346" s="20">
        <v>3977333714</v>
      </c>
      <c r="B346" s="21">
        <v>42500</v>
      </c>
      <c r="C346" s="22" t="s">
        <v>10</v>
      </c>
      <c r="D346" s="22">
        <v>2</v>
      </c>
      <c r="E346" s="22">
        <v>13072</v>
      </c>
      <c r="F346" s="22">
        <v>8.7799997329711896</v>
      </c>
      <c r="G346" s="22">
        <v>1</v>
      </c>
      <c r="H346" s="22">
        <v>115</v>
      </c>
      <c r="I346" s="22">
        <v>196</v>
      </c>
      <c r="J346" s="23">
        <v>1630</v>
      </c>
    </row>
    <row r="347" spans="1:10" x14ac:dyDescent="0.3">
      <c r="A347" s="20">
        <v>3977333714</v>
      </c>
      <c r="B347" s="21">
        <v>42501</v>
      </c>
      <c r="C347" s="22" t="s">
        <v>11</v>
      </c>
      <c r="D347" s="22">
        <v>3</v>
      </c>
      <c r="E347" s="22">
        <v>746</v>
      </c>
      <c r="F347" s="22">
        <v>0.5</v>
      </c>
      <c r="G347" s="22">
        <v>4</v>
      </c>
      <c r="H347" s="22">
        <v>0</v>
      </c>
      <c r="I347" s="22">
        <v>9</v>
      </c>
      <c r="J347" s="23">
        <v>52</v>
      </c>
    </row>
    <row r="348" spans="1:10" x14ac:dyDescent="0.3">
      <c r="A348" s="20">
        <v>4020332650</v>
      </c>
      <c r="B348" s="21">
        <v>42472</v>
      </c>
      <c r="C348" s="22" t="s">
        <v>10</v>
      </c>
      <c r="D348" s="22">
        <v>2</v>
      </c>
      <c r="E348" s="22">
        <v>8539</v>
      </c>
      <c r="F348" s="22">
        <v>6.1199998855590803</v>
      </c>
      <c r="G348" s="22">
        <v>4</v>
      </c>
      <c r="H348" s="22">
        <v>15</v>
      </c>
      <c r="I348" s="22">
        <v>331</v>
      </c>
      <c r="J348" s="23">
        <v>3654</v>
      </c>
    </row>
    <row r="349" spans="1:10" x14ac:dyDescent="0.3">
      <c r="A349" s="20">
        <v>4020332650</v>
      </c>
      <c r="B349" s="21">
        <v>42473</v>
      </c>
      <c r="C349" s="22" t="s">
        <v>11</v>
      </c>
      <c r="D349" s="22">
        <v>3</v>
      </c>
      <c r="E349" s="22">
        <v>0</v>
      </c>
      <c r="F349" s="22">
        <v>0</v>
      </c>
      <c r="G349" s="22">
        <v>0</v>
      </c>
      <c r="H349" s="22">
        <v>0</v>
      </c>
      <c r="I349" s="22">
        <v>0</v>
      </c>
      <c r="J349" s="23">
        <v>1981</v>
      </c>
    </row>
    <row r="350" spans="1:10" x14ac:dyDescent="0.3">
      <c r="A350" s="20">
        <v>4020332650</v>
      </c>
      <c r="B350" s="21">
        <v>42474</v>
      </c>
      <c r="C350" s="22" t="s">
        <v>12</v>
      </c>
      <c r="D350" s="22">
        <v>4</v>
      </c>
      <c r="E350" s="22">
        <v>108</v>
      </c>
      <c r="F350" s="22">
        <v>7.9999998211860698E-2</v>
      </c>
      <c r="G350" s="22">
        <v>0</v>
      </c>
      <c r="H350" s="22">
        <v>0</v>
      </c>
      <c r="I350" s="22">
        <v>3</v>
      </c>
      <c r="J350" s="23">
        <v>2011</v>
      </c>
    </row>
    <row r="351" spans="1:10" x14ac:dyDescent="0.3">
      <c r="A351" s="20">
        <v>4020332650</v>
      </c>
      <c r="B351" s="21">
        <v>42475</v>
      </c>
      <c r="C351" s="22" t="s">
        <v>13</v>
      </c>
      <c r="D351" s="22">
        <v>5</v>
      </c>
      <c r="E351" s="22">
        <v>1882</v>
      </c>
      <c r="F351" s="22">
        <v>1.3500000238418599</v>
      </c>
      <c r="G351" s="22">
        <v>36</v>
      </c>
      <c r="H351" s="22">
        <v>18</v>
      </c>
      <c r="I351" s="22">
        <v>87</v>
      </c>
      <c r="J351" s="23">
        <v>2951</v>
      </c>
    </row>
    <row r="352" spans="1:10" x14ac:dyDescent="0.3">
      <c r="A352" s="20">
        <v>4020332650</v>
      </c>
      <c r="B352" s="21">
        <v>42476</v>
      </c>
      <c r="C352" s="22" t="s">
        <v>14</v>
      </c>
      <c r="D352" s="22">
        <v>6</v>
      </c>
      <c r="E352" s="22">
        <v>1982</v>
      </c>
      <c r="F352" s="22">
        <v>1.41999995708466</v>
      </c>
      <c r="G352" s="22">
        <v>65</v>
      </c>
      <c r="H352" s="22">
        <v>21</v>
      </c>
      <c r="I352" s="22">
        <v>55</v>
      </c>
      <c r="J352" s="23">
        <v>3051</v>
      </c>
    </row>
    <row r="353" spans="1:10" x14ac:dyDescent="0.3">
      <c r="A353" s="20">
        <v>4020332650</v>
      </c>
      <c r="B353" s="21">
        <v>42477</v>
      </c>
      <c r="C353" s="22" t="s">
        <v>15</v>
      </c>
      <c r="D353" s="22">
        <v>0</v>
      </c>
      <c r="E353" s="22">
        <v>16</v>
      </c>
      <c r="F353" s="22">
        <v>9.9999997764825804E-3</v>
      </c>
      <c r="G353" s="22">
        <v>0</v>
      </c>
      <c r="H353" s="22">
        <v>0</v>
      </c>
      <c r="I353" s="22">
        <v>2</v>
      </c>
      <c r="J353" s="23">
        <v>1990</v>
      </c>
    </row>
    <row r="354" spans="1:10" x14ac:dyDescent="0.3">
      <c r="A354" s="20">
        <v>4020332650</v>
      </c>
      <c r="B354" s="21">
        <v>42478</v>
      </c>
      <c r="C354" s="22" t="s">
        <v>16</v>
      </c>
      <c r="D354" s="22">
        <v>1</v>
      </c>
      <c r="E354" s="22">
        <v>62</v>
      </c>
      <c r="F354" s="22">
        <v>3.9999999105930301E-2</v>
      </c>
      <c r="G354" s="22">
        <v>0</v>
      </c>
      <c r="H354" s="22">
        <v>0</v>
      </c>
      <c r="I354" s="22">
        <v>2</v>
      </c>
      <c r="J354" s="23">
        <v>1995</v>
      </c>
    </row>
    <row r="355" spans="1:10" x14ac:dyDescent="0.3">
      <c r="A355" s="20">
        <v>4020332650</v>
      </c>
      <c r="B355" s="21">
        <v>42479</v>
      </c>
      <c r="C355" s="22" t="s">
        <v>10</v>
      </c>
      <c r="D355" s="22">
        <v>2</v>
      </c>
      <c r="E355" s="22">
        <v>0</v>
      </c>
      <c r="F355" s="22">
        <v>0</v>
      </c>
      <c r="G355" s="22">
        <v>0</v>
      </c>
      <c r="H355" s="22">
        <v>0</v>
      </c>
      <c r="I355" s="22">
        <v>0</v>
      </c>
      <c r="J355" s="23">
        <v>1980</v>
      </c>
    </row>
    <row r="356" spans="1:10" x14ac:dyDescent="0.3">
      <c r="A356" s="20">
        <v>4020332650</v>
      </c>
      <c r="B356" s="21">
        <v>42480</v>
      </c>
      <c r="C356" s="22" t="s">
        <v>11</v>
      </c>
      <c r="D356" s="22">
        <v>3</v>
      </c>
      <c r="E356" s="22">
        <v>0</v>
      </c>
      <c r="F356" s="22">
        <v>0</v>
      </c>
      <c r="G356" s="22">
        <v>0</v>
      </c>
      <c r="H356" s="22">
        <v>0</v>
      </c>
      <c r="I356" s="22">
        <v>0</v>
      </c>
      <c r="J356" s="23">
        <v>1980</v>
      </c>
    </row>
    <row r="357" spans="1:10" x14ac:dyDescent="0.3">
      <c r="A357" s="20">
        <v>4020332650</v>
      </c>
      <c r="B357" s="21">
        <v>42481</v>
      </c>
      <c r="C357" s="22" t="s">
        <v>12</v>
      </c>
      <c r="D357" s="22">
        <v>4</v>
      </c>
      <c r="E357" s="22">
        <v>0</v>
      </c>
      <c r="F357" s="22">
        <v>0</v>
      </c>
      <c r="G357" s="22">
        <v>0</v>
      </c>
      <c r="H357" s="22">
        <v>0</v>
      </c>
      <c r="I357" s="22">
        <v>0</v>
      </c>
      <c r="J357" s="23">
        <v>1980</v>
      </c>
    </row>
    <row r="358" spans="1:10" x14ac:dyDescent="0.3">
      <c r="A358" s="20">
        <v>4020332650</v>
      </c>
      <c r="B358" s="21">
        <v>42482</v>
      </c>
      <c r="C358" s="22" t="s">
        <v>13</v>
      </c>
      <c r="D358" s="22">
        <v>5</v>
      </c>
      <c r="E358" s="22">
        <v>0</v>
      </c>
      <c r="F358" s="22">
        <v>0</v>
      </c>
      <c r="G358" s="22">
        <v>0</v>
      </c>
      <c r="H358" s="22">
        <v>0</v>
      </c>
      <c r="I358" s="22">
        <v>0</v>
      </c>
      <c r="J358" s="23">
        <v>1980</v>
      </c>
    </row>
    <row r="359" spans="1:10" x14ac:dyDescent="0.3">
      <c r="A359" s="20">
        <v>4020332650</v>
      </c>
      <c r="B359" s="21">
        <v>42483</v>
      </c>
      <c r="C359" s="22" t="s">
        <v>14</v>
      </c>
      <c r="D359" s="22">
        <v>6</v>
      </c>
      <c r="E359" s="22">
        <v>0</v>
      </c>
      <c r="F359" s="22">
        <v>0</v>
      </c>
      <c r="G359" s="22">
        <v>0</v>
      </c>
      <c r="H359" s="22">
        <v>0</v>
      </c>
      <c r="I359" s="22">
        <v>0</v>
      </c>
      <c r="J359" s="23">
        <v>1980</v>
      </c>
    </row>
    <row r="360" spans="1:10" x14ac:dyDescent="0.3">
      <c r="A360" s="20">
        <v>4020332650</v>
      </c>
      <c r="B360" s="21">
        <v>42484</v>
      </c>
      <c r="C360" s="22" t="s">
        <v>15</v>
      </c>
      <c r="D360" s="22">
        <v>0</v>
      </c>
      <c r="E360" s="22">
        <v>0</v>
      </c>
      <c r="F360" s="22">
        <v>0</v>
      </c>
      <c r="G360" s="22">
        <v>0</v>
      </c>
      <c r="H360" s="22">
        <v>0</v>
      </c>
      <c r="I360" s="22">
        <v>0</v>
      </c>
      <c r="J360" s="23">
        <v>1980</v>
      </c>
    </row>
    <row r="361" spans="1:10" x14ac:dyDescent="0.3">
      <c r="A361" s="20">
        <v>4020332650</v>
      </c>
      <c r="B361" s="21">
        <v>42485</v>
      </c>
      <c r="C361" s="22" t="s">
        <v>16</v>
      </c>
      <c r="D361" s="22">
        <v>1</v>
      </c>
      <c r="E361" s="22">
        <v>0</v>
      </c>
      <c r="F361" s="22">
        <v>0</v>
      </c>
      <c r="G361" s="22">
        <v>0</v>
      </c>
      <c r="H361" s="22">
        <v>0</v>
      </c>
      <c r="I361" s="22">
        <v>0</v>
      </c>
      <c r="J361" s="23">
        <v>1980</v>
      </c>
    </row>
    <row r="362" spans="1:10" x14ac:dyDescent="0.3">
      <c r="A362" s="20">
        <v>4020332650</v>
      </c>
      <c r="B362" s="21">
        <v>42486</v>
      </c>
      <c r="C362" s="22" t="s">
        <v>10</v>
      </c>
      <c r="D362" s="22">
        <v>2</v>
      </c>
      <c r="E362" s="22">
        <v>0</v>
      </c>
      <c r="F362" s="22">
        <v>0</v>
      </c>
      <c r="G362" s="22">
        <v>0</v>
      </c>
      <c r="H362" s="22">
        <v>0</v>
      </c>
      <c r="I362" s="22">
        <v>0</v>
      </c>
      <c r="J362" s="23">
        <v>1980</v>
      </c>
    </row>
    <row r="363" spans="1:10" x14ac:dyDescent="0.3">
      <c r="A363" s="20">
        <v>4020332650</v>
      </c>
      <c r="B363" s="21">
        <v>42487</v>
      </c>
      <c r="C363" s="22" t="s">
        <v>11</v>
      </c>
      <c r="D363" s="22">
        <v>3</v>
      </c>
      <c r="E363" s="22">
        <v>0</v>
      </c>
      <c r="F363" s="22">
        <v>0</v>
      </c>
      <c r="G363" s="22">
        <v>0</v>
      </c>
      <c r="H363" s="22">
        <v>0</v>
      </c>
      <c r="I363" s="22">
        <v>0</v>
      </c>
      <c r="J363" s="23">
        <v>1980</v>
      </c>
    </row>
    <row r="364" spans="1:10" x14ac:dyDescent="0.3">
      <c r="A364" s="20">
        <v>4020332650</v>
      </c>
      <c r="B364" s="21">
        <v>42488</v>
      </c>
      <c r="C364" s="22" t="s">
        <v>12</v>
      </c>
      <c r="D364" s="22">
        <v>4</v>
      </c>
      <c r="E364" s="22">
        <v>0</v>
      </c>
      <c r="F364" s="22">
        <v>0</v>
      </c>
      <c r="G364" s="22">
        <v>0</v>
      </c>
      <c r="H364" s="22">
        <v>0</v>
      </c>
      <c r="I364" s="22">
        <v>0</v>
      </c>
      <c r="J364" s="23">
        <v>1980</v>
      </c>
    </row>
    <row r="365" spans="1:10" x14ac:dyDescent="0.3">
      <c r="A365" s="20">
        <v>4020332650</v>
      </c>
      <c r="B365" s="21">
        <v>42489</v>
      </c>
      <c r="C365" s="22" t="s">
        <v>13</v>
      </c>
      <c r="D365" s="22">
        <v>5</v>
      </c>
      <c r="E365" s="22">
        <v>0</v>
      </c>
      <c r="F365" s="22">
        <v>0</v>
      </c>
      <c r="G365" s="22">
        <v>0</v>
      </c>
      <c r="H365" s="22">
        <v>0</v>
      </c>
      <c r="I365" s="22">
        <v>0</v>
      </c>
      <c r="J365" s="23">
        <v>1980</v>
      </c>
    </row>
    <row r="366" spans="1:10" x14ac:dyDescent="0.3">
      <c r="A366" s="20">
        <v>4020332650</v>
      </c>
      <c r="B366" s="21">
        <v>42490</v>
      </c>
      <c r="C366" s="22" t="s">
        <v>14</v>
      </c>
      <c r="D366" s="22">
        <v>6</v>
      </c>
      <c r="E366" s="22">
        <v>0</v>
      </c>
      <c r="F366" s="22">
        <v>0</v>
      </c>
      <c r="G366" s="22">
        <v>0</v>
      </c>
      <c r="H366" s="22">
        <v>0</v>
      </c>
      <c r="I366" s="22">
        <v>0</v>
      </c>
      <c r="J366" s="23">
        <v>1980</v>
      </c>
    </row>
    <row r="367" spans="1:10" x14ac:dyDescent="0.3">
      <c r="A367" s="20">
        <v>4020332650</v>
      </c>
      <c r="B367" s="21">
        <v>42491</v>
      </c>
      <c r="C367" s="22" t="s">
        <v>15</v>
      </c>
      <c r="D367" s="22">
        <v>0</v>
      </c>
      <c r="E367" s="22">
        <v>0</v>
      </c>
      <c r="F367" s="22">
        <v>0</v>
      </c>
      <c r="G367" s="22">
        <v>0</v>
      </c>
      <c r="H367" s="22">
        <v>0</v>
      </c>
      <c r="I367" s="22">
        <v>0</v>
      </c>
      <c r="J367" s="23">
        <v>1980</v>
      </c>
    </row>
    <row r="368" spans="1:10" x14ac:dyDescent="0.3">
      <c r="A368" s="20">
        <v>4020332650</v>
      </c>
      <c r="B368" s="21">
        <v>42492</v>
      </c>
      <c r="C368" s="22" t="s">
        <v>16</v>
      </c>
      <c r="D368" s="22">
        <v>1</v>
      </c>
      <c r="E368" s="22">
        <v>475</v>
      </c>
      <c r="F368" s="22">
        <v>0.34000000357627902</v>
      </c>
      <c r="G368" s="22">
        <v>0</v>
      </c>
      <c r="H368" s="22">
        <v>11</v>
      </c>
      <c r="I368" s="22">
        <v>31</v>
      </c>
      <c r="J368" s="23">
        <v>2207</v>
      </c>
    </row>
    <row r="369" spans="1:10" x14ac:dyDescent="0.3">
      <c r="A369" s="20">
        <v>4020332650</v>
      </c>
      <c r="B369" s="21">
        <v>42493</v>
      </c>
      <c r="C369" s="22" t="s">
        <v>10</v>
      </c>
      <c r="D369" s="22">
        <v>2</v>
      </c>
      <c r="E369" s="22">
        <v>4496</v>
      </c>
      <c r="F369" s="22">
        <v>3.2200000286102299</v>
      </c>
      <c r="G369" s="22">
        <v>0</v>
      </c>
      <c r="H369" s="22">
        <v>0</v>
      </c>
      <c r="I369" s="22">
        <v>174</v>
      </c>
      <c r="J369" s="23">
        <v>2828</v>
      </c>
    </row>
    <row r="370" spans="1:10" x14ac:dyDescent="0.3">
      <c r="A370" s="20">
        <v>4020332650</v>
      </c>
      <c r="B370" s="21">
        <v>42494</v>
      </c>
      <c r="C370" s="22" t="s">
        <v>11</v>
      </c>
      <c r="D370" s="22">
        <v>3</v>
      </c>
      <c r="E370" s="22">
        <v>10252</v>
      </c>
      <c r="F370" s="22">
        <v>7.3499999046325701</v>
      </c>
      <c r="G370" s="22">
        <v>13</v>
      </c>
      <c r="H370" s="22">
        <v>46</v>
      </c>
      <c r="I370" s="22">
        <v>346</v>
      </c>
      <c r="J370" s="23">
        <v>3879</v>
      </c>
    </row>
    <row r="371" spans="1:10" x14ac:dyDescent="0.3">
      <c r="A371" s="20">
        <v>4020332650</v>
      </c>
      <c r="B371" s="21">
        <v>42495</v>
      </c>
      <c r="C371" s="22" t="s">
        <v>12</v>
      </c>
      <c r="D371" s="22">
        <v>4</v>
      </c>
      <c r="E371" s="22">
        <v>11728</v>
      </c>
      <c r="F371" s="22">
        <v>8.4300003051757795</v>
      </c>
      <c r="G371" s="22">
        <v>38</v>
      </c>
      <c r="H371" s="22">
        <v>42</v>
      </c>
      <c r="I371" s="22">
        <v>196</v>
      </c>
      <c r="J371" s="23">
        <v>3429</v>
      </c>
    </row>
    <row r="372" spans="1:10" x14ac:dyDescent="0.3">
      <c r="A372" s="20">
        <v>4020332650</v>
      </c>
      <c r="B372" s="21">
        <v>42496</v>
      </c>
      <c r="C372" s="22" t="s">
        <v>13</v>
      </c>
      <c r="D372" s="22">
        <v>5</v>
      </c>
      <c r="E372" s="22">
        <v>4369</v>
      </c>
      <c r="F372" s="22">
        <v>3.1300001144409202</v>
      </c>
      <c r="G372" s="22">
        <v>0</v>
      </c>
      <c r="H372" s="22">
        <v>0</v>
      </c>
      <c r="I372" s="22">
        <v>177</v>
      </c>
      <c r="J372" s="23">
        <v>2704</v>
      </c>
    </row>
    <row r="373" spans="1:10" x14ac:dyDescent="0.3">
      <c r="A373" s="20">
        <v>4020332650</v>
      </c>
      <c r="B373" s="21">
        <v>42497</v>
      </c>
      <c r="C373" s="22" t="s">
        <v>14</v>
      </c>
      <c r="D373" s="22">
        <v>6</v>
      </c>
      <c r="E373" s="22">
        <v>6132</v>
      </c>
      <c r="F373" s="22">
        <v>4.4000000953674299</v>
      </c>
      <c r="G373" s="22">
        <v>0</v>
      </c>
      <c r="H373" s="22">
        <v>0</v>
      </c>
      <c r="I373" s="22">
        <v>184</v>
      </c>
      <c r="J373" s="23">
        <v>2975</v>
      </c>
    </row>
    <row r="374" spans="1:10" x14ac:dyDescent="0.3">
      <c r="A374" s="20">
        <v>4020332650</v>
      </c>
      <c r="B374" s="21">
        <v>42498</v>
      </c>
      <c r="C374" s="22" t="s">
        <v>15</v>
      </c>
      <c r="D374" s="22">
        <v>0</v>
      </c>
      <c r="E374" s="22">
        <v>5862</v>
      </c>
      <c r="F374" s="22">
        <v>4.1999998092651403</v>
      </c>
      <c r="G374" s="22">
        <v>0</v>
      </c>
      <c r="H374" s="22">
        <v>0</v>
      </c>
      <c r="I374" s="22">
        <v>263</v>
      </c>
      <c r="J374" s="23">
        <v>3089</v>
      </c>
    </row>
    <row r="375" spans="1:10" x14ac:dyDescent="0.3">
      <c r="A375" s="20">
        <v>4020332650</v>
      </c>
      <c r="B375" s="21">
        <v>42499</v>
      </c>
      <c r="C375" s="22" t="s">
        <v>16</v>
      </c>
      <c r="D375" s="22">
        <v>1</v>
      </c>
      <c r="E375" s="22">
        <v>4556</v>
      </c>
      <c r="F375" s="22">
        <v>3.2699999809265101</v>
      </c>
      <c r="G375" s="22">
        <v>3</v>
      </c>
      <c r="H375" s="22">
        <v>5</v>
      </c>
      <c r="I375" s="22">
        <v>173</v>
      </c>
      <c r="J375" s="23">
        <v>2785</v>
      </c>
    </row>
    <row r="376" spans="1:10" x14ac:dyDescent="0.3">
      <c r="A376" s="20">
        <v>4020332650</v>
      </c>
      <c r="B376" s="21">
        <v>42500</v>
      </c>
      <c r="C376" s="22" t="s">
        <v>10</v>
      </c>
      <c r="D376" s="22">
        <v>2</v>
      </c>
      <c r="E376" s="22">
        <v>5546</v>
      </c>
      <c r="F376" s="22">
        <v>3.9800000190734899</v>
      </c>
      <c r="G376" s="22">
        <v>0</v>
      </c>
      <c r="H376" s="22">
        <v>0</v>
      </c>
      <c r="I376" s="22">
        <v>206</v>
      </c>
      <c r="J376" s="23">
        <v>2926</v>
      </c>
    </row>
    <row r="377" spans="1:10" x14ac:dyDescent="0.3">
      <c r="A377" s="20">
        <v>4020332650</v>
      </c>
      <c r="B377" s="21">
        <v>42501</v>
      </c>
      <c r="C377" s="22" t="s">
        <v>11</v>
      </c>
      <c r="D377" s="22">
        <v>3</v>
      </c>
      <c r="E377" s="22">
        <v>3689</v>
      </c>
      <c r="F377" s="22">
        <v>2.6500000953674299</v>
      </c>
      <c r="G377" s="22">
        <v>2</v>
      </c>
      <c r="H377" s="22">
        <v>8</v>
      </c>
      <c r="I377" s="22">
        <v>134</v>
      </c>
      <c r="J377" s="23">
        <v>2645</v>
      </c>
    </row>
    <row r="378" spans="1:10" x14ac:dyDescent="0.3">
      <c r="A378" s="20">
        <v>4020332650</v>
      </c>
      <c r="B378" s="21">
        <v>42502</v>
      </c>
      <c r="C378" s="22" t="s">
        <v>12</v>
      </c>
      <c r="D378" s="22">
        <v>4</v>
      </c>
      <c r="E378" s="22">
        <v>590</v>
      </c>
      <c r="F378" s="22">
        <v>0.41999998688697798</v>
      </c>
      <c r="G378" s="22">
        <v>0</v>
      </c>
      <c r="H378" s="22">
        <v>0</v>
      </c>
      <c r="I378" s="22">
        <v>21</v>
      </c>
      <c r="J378" s="23">
        <v>1120</v>
      </c>
    </row>
    <row r="379" spans="1:10" x14ac:dyDescent="0.3">
      <c r="A379" s="20">
        <v>4057192912</v>
      </c>
      <c r="B379" s="21">
        <v>42472</v>
      </c>
      <c r="C379" s="22" t="s">
        <v>10</v>
      </c>
      <c r="D379" s="22">
        <v>2</v>
      </c>
      <c r="E379" s="22">
        <v>5394</v>
      </c>
      <c r="F379" s="22">
        <v>4.0300002098083496</v>
      </c>
      <c r="G379" s="22">
        <v>0</v>
      </c>
      <c r="H379" s="22">
        <v>0</v>
      </c>
      <c r="I379" s="22">
        <v>164</v>
      </c>
      <c r="J379" s="23">
        <v>2286</v>
      </c>
    </row>
    <row r="380" spans="1:10" x14ac:dyDescent="0.3">
      <c r="A380" s="20">
        <v>4057192912</v>
      </c>
      <c r="B380" s="21">
        <v>42473</v>
      </c>
      <c r="C380" s="22" t="s">
        <v>11</v>
      </c>
      <c r="D380" s="22">
        <v>3</v>
      </c>
      <c r="E380" s="22">
        <v>5974</v>
      </c>
      <c r="F380" s="22">
        <v>4.4699997901916504</v>
      </c>
      <c r="G380" s="22">
        <v>0</v>
      </c>
      <c r="H380" s="22">
        <v>0</v>
      </c>
      <c r="I380" s="22">
        <v>160</v>
      </c>
      <c r="J380" s="23">
        <v>2306</v>
      </c>
    </row>
    <row r="381" spans="1:10" x14ac:dyDescent="0.3">
      <c r="A381" s="20">
        <v>4057192912</v>
      </c>
      <c r="B381" s="21">
        <v>42474</v>
      </c>
      <c r="C381" s="22" t="s">
        <v>12</v>
      </c>
      <c r="D381" s="22">
        <v>4</v>
      </c>
      <c r="E381" s="22">
        <v>0</v>
      </c>
      <c r="F381" s="22">
        <v>0</v>
      </c>
      <c r="G381" s="22">
        <v>0</v>
      </c>
      <c r="H381" s="22">
        <v>0</v>
      </c>
      <c r="I381" s="22">
        <v>0</v>
      </c>
      <c r="J381" s="23">
        <v>1776</v>
      </c>
    </row>
    <row r="382" spans="1:10" x14ac:dyDescent="0.3">
      <c r="A382" s="20">
        <v>4057192912</v>
      </c>
      <c r="B382" s="21">
        <v>42475</v>
      </c>
      <c r="C382" s="22" t="s">
        <v>13</v>
      </c>
      <c r="D382" s="22">
        <v>5</v>
      </c>
      <c r="E382" s="22">
        <v>3984</v>
      </c>
      <c r="F382" s="22">
        <v>2.9500000476837198</v>
      </c>
      <c r="G382" s="22">
        <v>3</v>
      </c>
      <c r="H382" s="22">
        <v>6</v>
      </c>
      <c r="I382" s="22">
        <v>88</v>
      </c>
      <c r="J382" s="23">
        <v>1527</v>
      </c>
    </row>
    <row r="383" spans="1:10" x14ac:dyDescent="0.3">
      <c r="A383" s="20">
        <v>4319703577</v>
      </c>
      <c r="B383" s="21">
        <v>42472</v>
      </c>
      <c r="C383" s="22" t="s">
        <v>10</v>
      </c>
      <c r="D383" s="22">
        <v>2</v>
      </c>
      <c r="E383" s="22">
        <v>7753</v>
      </c>
      <c r="F383" s="22">
        <v>5.1999998092651403</v>
      </c>
      <c r="G383" s="22">
        <v>0</v>
      </c>
      <c r="H383" s="22">
        <v>0</v>
      </c>
      <c r="I383" s="22">
        <v>0</v>
      </c>
      <c r="J383" s="23">
        <v>2115</v>
      </c>
    </row>
    <row r="384" spans="1:10" x14ac:dyDescent="0.3">
      <c r="A384" s="20">
        <v>4319703577</v>
      </c>
      <c r="B384" s="21">
        <v>42473</v>
      </c>
      <c r="C384" s="22" t="s">
        <v>11</v>
      </c>
      <c r="D384" s="22">
        <v>3</v>
      </c>
      <c r="E384" s="22">
        <v>8204</v>
      </c>
      <c r="F384" s="22">
        <v>5.5</v>
      </c>
      <c r="G384" s="22">
        <v>8</v>
      </c>
      <c r="H384" s="22">
        <v>15</v>
      </c>
      <c r="I384" s="22">
        <v>96</v>
      </c>
      <c r="J384" s="23">
        <v>2135</v>
      </c>
    </row>
    <row r="385" spans="1:10" x14ac:dyDescent="0.3">
      <c r="A385" s="20">
        <v>4319703577</v>
      </c>
      <c r="B385" s="21">
        <v>42474</v>
      </c>
      <c r="C385" s="22" t="s">
        <v>12</v>
      </c>
      <c r="D385" s="22">
        <v>4</v>
      </c>
      <c r="E385" s="22">
        <v>10210</v>
      </c>
      <c r="F385" s="22">
        <v>6.8800001144409197</v>
      </c>
      <c r="G385" s="22">
        <v>1</v>
      </c>
      <c r="H385" s="22">
        <v>9</v>
      </c>
      <c r="I385" s="22">
        <v>339</v>
      </c>
      <c r="J385" s="23">
        <v>2302</v>
      </c>
    </row>
    <row r="386" spans="1:10" x14ac:dyDescent="0.3">
      <c r="A386" s="20">
        <v>4319703577</v>
      </c>
      <c r="B386" s="21">
        <v>42475</v>
      </c>
      <c r="C386" s="22" t="s">
        <v>13</v>
      </c>
      <c r="D386" s="22">
        <v>5</v>
      </c>
      <c r="E386" s="22">
        <v>5664</v>
      </c>
      <c r="F386" s="22">
        <v>3.7999999523162802</v>
      </c>
      <c r="G386" s="22">
        <v>0</v>
      </c>
      <c r="H386" s="22">
        <v>0</v>
      </c>
      <c r="I386" s="22">
        <v>228</v>
      </c>
      <c r="J386" s="23">
        <v>1985</v>
      </c>
    </row>
    <row r="387" spans="1:10" x14ac:dyDescent="0.3">
      <c r="A387" s="20">
        <v>4319703577</v>
      </c>
      <c r="B387" s="21">
        <v>42476</v>
      </c>
      <c r="C387" s="22" t="s">
        <v>14</v>
      </c>
      <c r="D387" s="22">
        <v>6</v>
      </c>
      <c r="E387" s="22">
        <v>4744</v>
      </c>
      <c r="F387" s="22">
        <v>3.1800000667571999</v>
      </c>
      <c r="G387" s="22">
        <v>0</v>
      </c>
      <c r="H387" s="22">
        <v>0</v>
      </c>
      <c r="I387" s="22">
        <v>194</v>
      </c>
      <c r="J387" s="23">
        <v>1884</v>
      </c>
    </row>
    <row r="388" spans="1:10" x14ac:dyDescent="0.3">
      <c r="A388" s="20">
        <v>4319703577</v>
      </c>
      <c r="B388" s="21">
        <v>42477</v>
      </c>
      <c r="C388" s="22" t="s">
        <v>15</v>
      </c>
      <c r="D388" s="22">
        <v>0</v>
      </c>
      <c r="E388" s="22">
        <v>29</v>
      </c>
      <c r="F388" s="22">
        <v>1.9999999552965199E-2</v>
      </c>
      <c r="G388" s="22">
        <v>0</v>
      </c>
      <c r="H388" s="22">
        <v>0</v>
      </c>
      <c r="I388" s="22">
        <v>3</v>
      </c>
      <c r="J388" s="23">
        <v>1464</v>
      </c>
    </row>
    <row r="389" spans="1:10" x14ac:dyDescent="0.3">
      <c r="A389" s="20">
        <v>4319703577</v>
      </c>
      <c r="B389" s="21">
        <v>42478</v>
      </c>
      <c r="C389" s="22" t="s">
        <v>16</v>
      </c>
      <c r="D389" s="22">
        <v>1</v>
      </c>
      <c r="E389" s="22">
        <v>2276</v>
      </c>
      <c r="F389" s="22">
        <v>1.54999995231628</v>
      </c>
      <c r="G389" s="22">
        <v>1</v>
      </c>
      <c r="H389" s="22">
        <v>9</v>
      </c>
      <c r="I389" s="22">
        <v>58</v>
      </c>
      <c r="J389" s="23">
        <v>1632</v>
      </c>
    </row>
    <row r="390" spans="1:10" x14ac:dyDescent="0.3">
      <c r="A390" s="20">
        <v>4319703577</v>
      </c>
      <c r="B390" s="21">
        <v>42479</v>
      </c>
      <c r="C390" s="22" t="s">
        <v>10</v>
      </c>
      <c r="D390" s="22">
        <v>2</v>
      </c>
      <c r="E390" s="22">
        <v>8925</v>
      </c>
      <c r="F390" s="22">
        <v>5.9899997711181596</v>
      </c>
      <c r="G390" s="22">
        <v>0</v>
      </c>
      <c r="H390" s="22">
        <v>0</v>
      </c>
      <c r="I390" s="22">
        <v>311</v>
      </c>
      <c r="J390" s="23">
        <v>2200</v>
      </c>
    </row>
    <row r="391" spans="1:10" x14ac:dyDescent="0.3">
      <c r="A391" s="20">
        <v>4319703577</v>
      </c>
      <c r="B391" s="21">
        <v>42480</v>
      </c>
      <c r="C391" s="22" t="s">
        <v>11</v>
      </c>
      <c r="D391" s="22">
        <v>3</v>
      </c>
      <c r="E391" s="22">
        <v>8954</v>
      </c>
      <c r="F391" s="22">
        <v>6.0100002288818404</v>
      </c>
      <c r="G391" s="22">
        <v>0</v>
      </c>
      <c r="H391" s="22">
        <v>18</v>
      </c>
      <c r="I391" s="22">
        <v>306</v>
      </c>
      <c r="J391" s="23">
        <v>2220</v>
      </c>
    </row>
    <row r="392" spans="1:10" x14ac:dyDescent="0.3">
      <c r="A392" s="20">
        <v>4319703577</v>
      </c>
      <c r="B392" s="21">
        <v>42481</v>
      </c>
      <c r="C392" s="22" t="s">
        <v>12</v>
      </c>
      <c r="D392" s="22">
        <v>4</v>
      </c>
      <c r="E392" s="22">
        <v>3702</v>
      </c>
      <c r="F392" s="22">
        <v>2.4800000190734899</v>
      </c>
      <c r="G392" s="22">
        <v>0</v>
      </c>
      <c r="H392" s="22">
        <v>0</v>
      </c>
      <c r="I392" s="22">
        <v>34</v>
      </c>
      <c r="J392" s="23">
        <v>1792</v>
      </c>
    </row>
    <row r="393" spans="1:10" x14ac:dyDescent="0.3">
      <c r="A393" s="20">
        <v>4319703577</v>
      </c>
      <c r="B393" s="21">
        <v>42482</v>
      </c>
      <c r="C393" s="22" t="s">
        <v>13</v>
      </c>
      <c r="D393" s="22">
        <v>5</v>
      </c>
      <c r="E393" s="22">
        <v>4500</v>
      </c>
      <c r="F393" s="22">
        <v>3.0199999809265101</v>
      </c>
      <c r="G393" s="22">
        <v>1</v>
      </c>
      <c r="H393" s="22">
        <v>19</v>
      </c>
      <c r="I393" s="22">
        <v>176</v>
      </c>
      <c r="J393" s="23">
        <v>1886</v>
      </c>
    </row>
    <row r="394" spans="1:10" x14ac:dyDescent="0.3">
      <c r="A394" s="20">
        <v>4319703577</v>
      </c>
      <c r="B394" s="21">
        <v>42483</v>
      </c>
      <c r="C394" s="22" t="s">
        <v>14</v>
      </c>
      <c r="D394" s="22">
        <v>6</v>
      </c>
      <c r="E394" s="22">
        <v>4935</v>
      </c>
      <c r="F394" s="22">
        <v>3.3099999427795401</v>
      </c>
      <c r="G394" s="22">
        <v>0</v>
      </c>
      <c r="H394" s="22">
        <v>0</v>
      </c>
      <c r="I394" s="22">
        <v>233</v>
      </c>
      <c r="J394" s="23">
        <v>1945</v>
      </c>
    </row>
    <row r="395" spans="1:10" x14ac:dyDescent="0.3">
      <c r="A395" s="20">
        <v>4319703577</v>
      </c>
      <c r="B395" s="21">
        <v>42484</v>
      </c>
      <c r="C395" s="22" t="s">
        <v>15</v>
      </c>
      <c r="D395" s="22">
        <v>0</v>
      </c>
      <c r="E395" s="22">
        <v>4081</v>
      </c>
      <c r="F395" s="22">
        <v>2.7400000095367401</v>
      </c>
      <c r="G395" s="22">
        <v>1</v>
      </c>
      <c r="H395" s="22">
        <v>5</v>
      </c>
      <c r="I395" s="22">
        <v>191</v>
      </c>
      <c r="J395" s="23">
        <v>1880</v>
      </c>
    </row>
    <row r="396" spans="1:10" x14ac:dyDescent="0.3">
      <c r="A396" s="20">
        <v>4319703577</v>
      </c>
      <c r="B396" s="21">
        <v>42485</v>
      </c>
      <c r="C396" s="22" t="s">
        <v>16</v>
      </c>
      <c r="D396" s="22">
        <v>1</v>
      </c>
      <c r="E396" s="22">
        <v>9259</v>
      </c>
      <c r="F396" s="22">
        <v>6.21000003814697</v>
      </c>
      <c r="G396" s="22">
        <v>0</v>
      </c>
      <c r="H396" s="22">
        <v>8</v>
      </c>
      <c r="I396" s="22">
        <v>390</v>
      </c>
      <c r="J396" s="23">
        <v>2314</v>
      </c>
    </row>
    <row r="397" spans="1:10" x14ac:dyDescent="0.3">
      <c r="A397" s="20">
        <v>4319703577</v>
      </c>
      <c r="B397" s="21">
        <v>42486</v>
      </c>
      <c r="C397" s="22" t="s">
        <v>10</v>
      </c>
      <c r="D397" s="22">
        <v>2</v>
      </c>
      <c r="E397" s="22">
        <v>9899</v>
      </c>
      <c r="F397" s="22">
        <v>6.6399998664856001</v>
      </c>
      <c r="G397" s="22">
        <v>8</v>
      </c>
      <c r="H397" s="22">
        <v>21</v>
      </c>
      <c r="I397" s="22">
        <v>288</v>
      </c>
      <c r="J397" s="23">
        <v>2236</v>
      </c>
    </row>
    <row r="398" spans="1:10" x14ac:dyDescent="0.3">
      <c r="A398" s="20">
        <v>4319703577</v>
      </c>
      <c r="B398" s="21">
        <v>42487</v>
      </c>
      <c r="C398" s="22" t="s">
        <v>11</v>
      </c>
      <c r="D398" s="22">
        <v>3</v>
      </c>
      <c r="E398" s="22">
        <v>10780</v>
      </c>
      <c r="F398" s="22">
        <v>7.2300000190734899</v>
      </c>
      <c r="G398" s="22">
        <v>6</v>
      </c>
      <c r="H398" s="22">
        <v>47</v>
      </c>
      <c r="I398" s="22">
        <v>300</v>
      </c>
      <c r="J398" s="23">
        <v>2324</v>
      </c>
    </row>
    <row r="399" spans="1:10" x14ac:dyDescent="0.3">
      <c r="A399" s="20">
        <v>4319703577</v>
      </c>
      <c r="B399" s="21">
        <v>42488</v>
      </c>
      <c r="C399" s="22" t="s">
        <v>12</v>
      </c>
      <c r="D399" s="22">
        <v>4</v>
      </c>
      <c r="E399" s="22">
        <v>10817</v>
      </c>
      <c r="F399" s="22">
        <v>7.2800002098083496</v>
      </c>
      <c r="G399" s="22">
        <v>13</v>
      </c>
      <c r="H399" s="22">
        <v>8</v>
      </c>
      <c r="I399" s="22">
        <v>359</v>
      </c>
      <c r="J399" s="23">
        <v>2367</v>
      </c>
    </row>
    <row r="400" spans="1:10" x14ac:dyDescent="0.3">
      <c r="A400" s="20">
        <v>4319703577</v>
      </c>
      <c r="B400" s="21">
        <v>42489</v>
      </c>
      <c r="C400" s="22" t="s">
        <v>13</v>
      </c>
      <c r="D400" s="22">
        <v>5</v>
      </c>
      <c r="E400" s="22">
        <v>7990</v>
      </c>
      <c r="F400" s="22">
        <v>5.3600001335143999</v>
      </c>
      <c r="G400" s="22">
        <v>6</v>
      </c>
      <c r="H400" s="22">
        <v>18</v>
      </c>
      <c r="I400" s="22">
        <v>289</v>
      </c>
      <c r="J400" s="23">
        <v>2175</v>
      </c>
    </row>
    <row r="401" spans="1:10" x14ac:dyDescent="0.3">
      <c r="A401" s="20">
        <v>4319703577</v>
      </c>
      <c r="B401" s="21">
        <v>42490</v>
      </c>
      <c r="C401" s="22" t="s">
        <v>14</v>
      </c>
      <c r="D401" s="22">
        <v>6</v>
      </c>
      <c r="E401" s="22">
        <v>8221</v>
      </c>
      <c r="F401" s="22">
        <v>5.5199999809265101</v>
      </c>
      <c r="G401" s="22">
        <v>6</v>
      </c>
      <c r="H401" s="22">
        <v>38</v>
      </c>
      <c r="I401" s="22">
        <v>196</v>
      </c>
      <c r="J401" s="23">
        <v>2092</v>
      </c>
    </row>
    <row r="402" spans="1:10" x14ac:dyDescent="0.3">
      <c r="A402" s="20">
        <v>4319703577</v>
      </c>
      <c r="B402" s="21">
        <v>42491</v>
      </c>
      <c r="C402" s="22" t="s">
        <v>15</v>
      </c>
      <c r="D402" s="22">
        <v>0</v>
      </c>
      <c r="E402" s="22">
        <v>1251</v>
      </c>
      <c r="F402" s="22">
        <v>0.83999997377395597</v>
      </c>
      <c r="G402" s="22">
        <v>0</v>
      </c>
      <c r="H402" s="22">
        <v>0</v>
      </c>
      <c r="I402" s="22">
        <v>67</v>
      </c>
      <c r="J402" s="23">
        <v>1593</v>
      </c>
    </row>
    <row r="403" spans="1:10" x14ac:dyDescent="0.3">
      <c r="A403" s="20">
        <v>4319703577</v>
      </c>
      <c r="B403" s="21">
        <v>42492</v>
      </c>
      <c r="C403" s="22" t="s">
        <v>16</v>
      </c>
      <c r="D403" s="22">
        <v>1</v>
      </c>
      <c r="E403" s="22">
        <v>9261</v>
      </c>
      <c r="F403" s="22">
        <v>6.2399997711181596</v>
      </c>
      <c r="G403" s="22">
        <v>0</v>
      </c>
      <c r="H403" s="22">
        <v>11</v>
      </c>
      <c r="I403" s="22">
        <v>344</v>
      </c>
      <c r="J403" s="23">
        <v>2270</v>
      </c>
    </row>
    <row r="404" spans="1:10" x14ac:dyDescent="0.3">
      <c r="A404" s="20">
        <v>4319703577</v>
      </c>
      <c r="B404" s="21">
        <v>42493</v>
      </c>
      <c r="C404" s="22" t="s">
        <v>10</v>
      </c>
      <c r="D404" s="22">
        <v>2</v>
      </c>
      <c r="E404" s="22">
        <v>9648</v>
      </c>
      <c r="F404" s="22">
        <v>6.4699997901916504</v>
      </c>
      <c r="G404" s="22">
        <v>8</v>
      </c>
      <c r="H404" s="22">
        <v>26</v>
      </c>
      <c r="I404" s="22">
        <v>287</v>
      </c>
      <c r="J404" s="23">
        <v>2235</v>
      </c>
    </row>
    <row r="405" spans="1:10" x14ac:dyDescent="0.3">
      <c r="A405" s="20">
        <v>4319703577</v>
      </c>
      <c r="B405" s="21">
        <v>42494</v>
      </c>
      <c r="C405" s="22" t="s">
        <v>11</v>
      </c>
      <c r="D405" s="22">
        <v>3</v>
      </c>
      <c r="E405" s="22">
        <v>10429</v>
      </c>
      <c r="F405" s="22">
        <v>7.0199999809265101</v>
      </c>
      <c r="G405" s="22">
        <v>8</v>
      </c>
      <c r="H405" s="22">
        <v>13</v>
      </c>
      <c r="I405" s="22">
        <v>313</v>
      </c>
      <c r="J405" s="23">
        <v>2282</v>
      </c>
    </row>
    <row r="406" spans="1:10" x14ac:dyDescent="0.3">
      <c r="A406" s="20">
        <v>4319703577</v>
      </c>
      <c r="B406" s="21">
        <v>42495</v>
      </c>
      <c r="C406" s="22" t="s">
        <v>12</v>
      </c>
      <c r="D406" s="22">
        <v>4</v>
      </c>
      <c r="E406" s="22">
        <v>13658</v>
      </c>
      <c r="F406" s="22">
        <v>9.4899997711181605</v>
      </c>
      <c r="G406" s="22">
        <v>27</v>
      </c>
      <c r="H406" s="22">
        <v>34</v>
      </c>
      <c r="I406" s="22">
        <v>328</v>
      </c>
      <c r="J406" s="23">
        <v>2530</v>
      </c>
    </row>
    <row r="407" spans="1:10" x14ac:dyDescent="0.3">
      <c r="A407" s="20">
        <v>4319703577</v>
      </c>
      <c r="B407" s="21">
        <v>42496</v>
      </c>
      <c r="C407" s="22" t="s">
        <v>13</v>
      </c>
      <c r="D407" s="22">
        <v>5</v>
      </c>
      <c r="E407" s="22">
        <v>9524</v>
      </c>
      <c r="F407" s="22">
        <v>6.4200000762939498</v>
      </c>
      <c r="G407" s="22">
        <v>6</v>
      </c>
      <c r="H407" s="22">
        <v>11</v>
      </c>
      <c r="I407" s="22">
        <v>314</v>
      </c>
      <c r="J407" s="23">
        <v>2266</v>
      </c>
    </row>
    <row r="408" spans="1:10" x14ac:dyDescent="0.3">
      <c r="A408" s="20">
        <v>4319703577</v>
      </c>
      <c r="B408" s="21">
        <v>42497</v>
      </c>
      <c r="C408" s="22" t="s">
        <v>14</v>
      </c>
      <c r="D408" s="22">
        <v>6</v>
      </c>
      <c r="E408" s="22">
        <v>7937</v>
      </c>
      <c r="F408" s="22">
        <v>5.3299999237060502</v>
      </c>
      <c r="G408" s="22">
        <v>3</v>
      </c>
      <c r="H408" s="22">
        <v>28</v>
      </c>
      <c r="I408" s="22">
        <v>279</v>
      </c>
      <c r="J408" s="23">
        <v>2158</v>
      </c>
    </row>
    <row r="409" spans="1:10" x14ac:dyDescent="0.3">
      <c r="A409" s="20">
        <v>4319703577</v>
      </c>
      <c r="B409" s="21">
        <v>42498</v>
      </c>
      <c r="C409" s="22" t="s">
        <v>15</v>
      </c>
      <c r="D409" s="22">
        <v>0</v>
      </c>
      <c r="E409" s="22">
        <v>3672</v>
      </c>
      <c r="F409" s="22">
        <v>2.46000003814697</v>
      </c>
      <c r="G409" s="22">
        <v>0</v>
      </c>
      <c r="H409" s="22">
        <v>0</v>
      </c>
      <c r="I409" s="22">
        <v>153</v>
      </c>
      <c r="J409" s="23">
        <v>1792</v>
      </c>
    </row>
    <row r="410" spans="1:10" x14ac:dyDescent="0.3">
      <c r="A410" s="20">
        <v>4319703577</v>
      </c>
      <c r="B410" s="21">
        <v>42499</v>
      </c>
      <c r="C410" s="22" t="s">
        <v>16</v>
      </c>
      <c r="D410" s="22">
        <v>1</v>
      </c>
      <c r="E410" s="22">
        <v>10378</v>
      </c>
      <c r="F410" s="22">
        <v>6.96000003814697</v>
      </c>
      <c r="G410" s="22">
        <v>2</v>
      </c>
      <c r="H410" s="22">
        <v>14</v>
      </c>
      <c r="I410" s="22">
        <v>374</v>
      </c>
      <c r="J410" s="23">
        <v>2345</v>
      </c>
    </row>
    <row r="411" spans="1:10" x14ac:dyDescent="0.3">
      <c r="A411" s="20">
        <v>4319703577</v>
      </c>
      <c r="B411" s="21">
        <v>42500</v>
      </c>
      <c r="C411" s="22" t="s">
        <v>10</v>
      </c>
      <c r="D411" s="22">
        <v>2</v>
      </c>
      <c r="E411" s="22">
        <v>9487</v>
      </c>
      <c r="F411" s="22">
        <v>6.3699998855590803</v>
      </c>
      <c r="G411" s="22">
        <v>3</v>
      </c>
      <c r="H411" s="22">
        <v>12</v>
      </c>
      <c r="I411" s="22">
        <v>329</v>
      </c>
      <c r="J411" s="23">
        <v>2260</v>
      </c>
    </row>
    <row r="412" spans="1:10" x14ac:dyDescent="0.3">
      <c r="A412" s="20">
        <v>4319703577</v>
      </c>
      <c r="B412" s="21">
        <v>42501</v>
      </c>
      <c r="C412" s="22" t="s">
        <v>11</v>
      </c>
      <c r="D412" s="22">
        <v>3</v>
      </c>
      <c r="E412" s="22">
        <v>9129</v>
      </c>
      <c r="F412" s="22">
        <v>6.1300001144409197</v>
      </c>
      <c r="G412" s="22">
        <v>3</v>
      </c>
      <c r="H412" s="22">
        <v>18</v>
      </c>
      <c r="I412" s="22">
        <v>311</v>
      </c>
      <c r="J412" s="23">
        <v>2232</v>
      </c>
    </row>
    <row r="413" spans="1:10" x14ac:dyDescent="0.3">
      <c r="A413" s="20">
        <v>4319703577</v>
      </c>
      <c r="B413" s="21">
        <v>42502</v>
      </c>
      <c r="C413" s="22" t="s">
        <v>12</v>
      </c>
      <c r="D413" s="22">
        <v>4</v>
      </c>
      <c r="E413" s="22">
        <v>17</v>
      </c>
      <c r="F413" s="22">
        <v>9.9999997764825804E-3</v>
      </c>
      <c r="G413" s="22">
        <v>0</v>
      </c>
      <c r="H413" s="22">
        <v>0</v>
      </c>
      <c r="I413" s="22">
        <v>2</v>
      </c>
      <c r="J413" s="23">
        <v>257</v>
      </c>
    </row>
    <row r="414" spans="1:10" x14ac:dyDescent="0.3">
      <c r="A414" s="20">
        <v>4388161847</v>
      </c>
      <c r="B414" s="21">
        <v>42472</v>
      </c>
      <c r="C414" s="22" t="s">
        <v>10</v>
      </c>
      <c r="D414" s="22">
        <v>2</v>
      </c>
      <c r="E414" s="22">
        <v>10122</v>
      </c>
      <c r="F414" s="22">
        <v>7.7800002098083496</v>
      </c>
      <c r="G414" s="22">
        <v>0</v>
      </c>
      <c r="H414" s="22">
        <v>0</v>
      </c>
      <c r="I414" s="22">
        <v>0</v>
      </c>
      <c r="J414" s="23">
        <v>2955</v>
      </c>
    </row>
    <row r="415" spans="1:10" x14ac:dyDescent="0.3">
      <c r="A415" s="20">
        <v>4388161847</v>
      </c>
      <c r="B415" s="21">
        <v>42473</v>
      </c>
      <c r="C415" s="22" t="s">
        <v>11</v>
      </c>
      <c r="D415" s="22">
        <v>3</v>
      </c>
      <c r="E415" s="22">
        <v>10993</v>
      </c>
      <c r="F415" s="22">
        <v>8.4499998092651403</v>
      </c>
      <c r="G415" s="22">
        <v>1</v>
      </c>
      <c r="H415" s="22">
        <v>14</v>
      </c>
      <c r="I415" s="22">
        <v>150</v>
      </c>
      <c r="J415" s="23">
        <v>3092</v>
      </c>
    </row>
    <row r="416" spans="1:10" x14ac:dyDescent="0.3">
      <c r="A416" s="20">
        <v>4388161847</v>
      </c>
      <c r="B416" s="21">
        <v>42474</v>
      </c>
      <c r="C416" s="22" t="s">
        <v>12</v>
      </c>
      <c r="D416" s="22">
        <v>4</v>
      </c>
      <c r="E416" s="22">
        <v>8863</v>
      </c>
      <c r="F416" s="22">
        <v>6.8200001716613796</v>
      </c>
      <c r="G416" s="22">
        <v>10</v>
      </c>
      <c r="H416" s="22">
        <v>35</v>
      </c>
      <c r="I416" s="22">
        <v>219</v>
      </c>
      <c r="J416" s="23">
        <v>2998</v>
      </c>
    </row>
    <row r="417" spans="1:10" x14ac:dyDescent="0.3">
      <c r="A417" s="20">
        <v>4388161847</v>
      </c>
      <c r="B417" s="21">
        <v>42475</v>
      </c>
      <c r="C417" s="22" t="s">
        <v>13</v>
      </c>
      <c r="D417" s="22">
        <v>5</v>
      </c>
      <c r="E417" s="22">
        <v>8758</v>
      </c>
      <c r="F417" s="22">
        <v>6.7300000190734899</v>
      </c>
      <c r="G417" s="22">
        <v>0</v>
      </c>
      <c r="H417" s="22">
        <v>0</v>
      </c>
      <c r="I417" s="22">
        <v>299</v>
      </c>
      <c r="J417" s="23">
        <v>3066</v>
      </c>
    </row>
    <row r="418" spans="1:10" x14ac:dyDescent="0.3">
      <c r="A418" s="20">
        <v>4388161847</v>
      </c>
      <c r="B418" s="21">
        <v>42476</v>
      </c>
      <c r="C418" s="22" t="s">
        <v>14</v>
      </c>
      <c r="D418" s="22">
        <v>6</v>
      </c>
      <c r="E418" s="22">
        <v>6580</v>
      </c>
      <c r="F418" s="22">
        <v>5.0599999427795401</v>
      </c>
      <c r="G418" s="22">
        <v>6</v>
      </c>
      <c r="H418" s="22">
        <v>9</v>
      </c>
      <c r="I418" s="22">
        <v>253</v>
      </c>
      <c r="J418" s="23">
        <v>3073</v>
      </c>
    </row>
    <row r="419" spans="1:10" x14ac:dyDescent="0.3">
      <c r="A419" s="20">
        <v>4388161847</v>
      </c>
      <c r="B419" s="21">
        <v>42477</v>
      </c>
      <c r="C419" s="22" t="s">
        <v>15</v>
      </c>
      <c r="D419" s="22">
        <v>0</v>
      </c>
      <c r="E419" s="22">
        <v>4660</v>
      </c>
      <c r="F419" s="22">
        <v>3.5799999237060498</v>
      </c>
      <c r="G419" s="22">
        <v>0</v>
      </c>
      <c r="H419" s="22">
        <v>0</v>
      </c>
      <c r="I419" s="22">
        <v>201</v>
      </c>
      <c r="J419" s="23">
        <v>2572</v>
      </c>
    </row>
    <row r="420" spans="1:10" x14ac:dyDescent="0.3">
      <c r="A420" s="20">
        <v>4388161847</v>
      </c>
      <c r="B420" s="21">
        <v>42478</v>
      </c>
      <c r="C420" s="22" t="s">
        <v>16</v>
      </c>
      <c r="D420" s="22">
        <v>1</v>
      </c>
      <c r="E420" s="22">
        <v>11009</v>
      </c>
      <c r="F420" s="22">
        <v>9.1000003814697301</v>
      </c>
      <c r="G420" s="22">
        <v>27</v>
      </c>
      <c r="H420" s="22">
        <v>8</v>
      </c>
      <c r="I420" s="22">
        <v>239</v>
      </c>
      <c r="J420" s="23">
        <v>3274</v>
      </c>
    </row>
    <row r="421" spans="1:10" x14ac:dyDescent="0.3">
      <c r="A421" s="20">
        <v>4388161847</v>
      </c>
      <c r="B421" s="21">
        <v>42479</v>
      </c>
      <c r="C421" s="22" t="s">
        <v>10</v>
      </c>
      <c r="D421" s="22">
        <v>2</v>
      </c>
      <c r="E421" s="22">
        <v>10181</v>
      </c>
      <c r="F421" s="22">
        <v>7.8299999237060502</v>
      </c>
      <c r="G421" s="22">
        <v>20</v>
      </c>
      <c r="H421" s="22">
        <v>16</v>
      </c>
      <c r="I421" s="22">
        <v>249</v>
      </c>
      <c r="J421" s="23">
        <v>3015</v>
      </c>
    </row>
    <row r="422" spans="1:10" x14ac:dyDescent="0.3">
      <c r="A422" s="20">
        <v>4388161847</v>
      </c>
      <c r="B422" s="21">
        <v>42480</v>
      </c>
      <c r="C422" s="22" t="s">
        <v>11</v>
      </c>
      <c r="D422" s="22">
        <v>3</v>
      </c>
      <c r="E422" s="22">
        <v>10553</v>
      </c>
      <c r="F422" s="22">
        <v>8.1199998855590803</v>
      </c>
      <c r="G422" s="22">
        <v>19</v>
      </c>
      <c r="H422" s="22">
        <v>42</v>
      </c>
      <c r="I422" s="22">
        <v>228</v>
      </c>
      <c r="J422" s="23">
        <v>3083</v>
      </c>
    </row>
    <row r="423" spans="1:10" x14ac:dyDescent="0.3">
      <c r="A423" s="20">
        <v>4388161847</v>
      </c>
      <c r="B423" s="21">
        <v>42481</v>
      </c>
      <c r="C423" s="22" t="s">
        <v>12</v>
      </c>
      <c r="D423" s="22">
        <v>4</v>
      </c>
      <c r="E423" s="22">
        <v>10055</v>
      </c>
      <c r="F423" s="22">
        <v>7.7300000190734899</v>
      </c>
      <c r="G423" s="22">
        <v>7</v>
      </c>
      <c r="H423" s="22">
        <v>12</v>
      </c>
      <c r="I423" s="22">
        <v>272</v>
      </c>
      <c r="J423" s="23">
        <v>3069</v>
      </c>
    </row>
    <row r="424" spans="1:10" x14ac:dyDescent="0.3">
      <c r="A424" s="20">
        <v>4388161847</v>
      </c>
      <c r="B424" s="21">
        <v>42482</v>
      </c>
      <c r="C424" s="22" t="s">
        <v>13</v>
      </c>
      <c r="D424" s="22">
        <v>5</v>
      </c>
      <c r="E424" s="22">
        <v>12139</v>
      </c>
      <c r="F424" s="22">
        <v>9.3400001525878906</v>
      </c>
      <c r="G424" s="22">
        <v>77</v>
      </c>
      <c r="H424" s="22">
        <v>25</v>
      </c>
      <c r="I424" s="22">
        <v>220</v>
      </c>
      <c r="J424" s="23">
        <v>3544</v>
      </c>
    </row>
    <row r="425" spans="1:10" x14ac:dyDescent="0.3">
      <c r="A425" s="20">
        <v>4388161847</v>
      </c>
      <c r="B425" s="21">
        <v>42483</v>
      </c>
      <c r="C425" s="22" t="s">
        <v>14</v>
      </c>
      <c r="D425" s="22">
        <v>6</v>
      </c>
      <c r="E425" s="22">
        <v>13236</v>
      </c>
      <c r="F425" s="22">
        <v>10.180000305175801</v>
      </c>
      <c r="G425" s="22">
        <v>58</v>
      </c>
      <c r="H425" s="22">
        <v>5</v>
      </c>
      <c r="I425" s="22">
        <v>215</v>
      </c>
      <c r="J425" s="23">
        <v>3306</v>
      </c>
    </row>
    <row r="426" spans="1:10" x14ac:dyDescent="0.3">
      <c r="A426" s="20">
        <v>4388161847</v>
      </c>
      <c r="B426" s="21">
        <v>42484</v>
      </c>
      <c r="C426" s="22" t="s">
        <v>15</v>
      </c>
      <c r="D426" s="22">
        <v>0</v>
      </c>
      <c r="E426" s="22">
        <v>10243</v>
      </c>
      <c r="F426" s="22">
        <v>7.8800001144409197</v>
      </c>
      <c r="G426" s="22">
        <v>14</v>
      </c>
      <c r="H426" s="22">
        <v>8</v>
      </c>
      <c r="I426" s="22">
        <v>239</v>
      </c>
      <c r="J426" s="23">
        <v>2885</v>
      </c>
    </row>
    <row r="427" spans="1:10" x14ac:dyDescent="0.3">
      <c r="A427" s="20">
        <v>4388161847</v>
      </c>
      <c r="B427" s="21">
        <v>42485</v>
      </c>
      <c r="C427" s="22" t="s">
        <v>16</v>
      </c>
      <c r="D427" s="22">
        <v>1</v>
      </c>
      <c r="E427" s="22">
        <v>12961</v>
      </c>
      <c r="F427" s="22">
        <v>9.9700002670288104</v>
      </c>
      <c r="G427" s="22">
        <v>11</v>
      </c>
      <c r="H427" s="22">
        <v>31</v>
      </c>
      <c r="I427" s="22">
        <v>301</v>
      </c>
      <c r="J427" s="23">
        <v>3288</v>
      </c>
    </row>
    <row r="428" spans="1:10" x14ac:dyDescent="0.3">
      <c r="A428" s="20">
        <v>4388161847</v>
      </c>
      <c r="B428" s="21">
        <v>42486</v>
      </c>
      <c r="C428" s="22" t="s">
        <v>10</v>
      </c>
      <c r="D428" s="22">
        <v>2</v>
      </c>
      <c r="E428" s="22">
        <v>9461</v>
      </c>
      <c r="F428" s="22">
        <v>7.2800002098083496</v>
      </c>
      <c r="G428" s="22">
        <v>14</v>
      </c>
      <c r="H428" s="22">
        <v>23</v>
      </c>
      <c r="I428" s="22">
        <v>224</v>
      </c>
      <c r="J428" s="23">
        <v>2929</v>
      </c>
    </row>
    <row r="429" spans="1:10" x14ac:dyDescent="0.3">
      <c r="A429" s="20">
        <v>4388161847</v>
      </c>
      <c r="B429" s="21">
        <v>42487</v>
      </c>
      <c r="C429" s="22" t="s">
        <v>11</v>
      </c>
      <c r="D429" s="22">
        <v>3</v>
      </c>
      <c r="E429" s="22">
        <v>11193</v>
      </c>
      <c r="F429" s="22">
        <v>8.6099996566772496</v>
      </c>
      <c r="G429" s="22">
        <v>11</v>
      </c>
      <c r="H429" s="22">
        <v>48</v>
      </c>
      <c r="I429" s="22">
        <v>241</v>
      </c>
      <c r="J429" s="23">
        <v>3074</v>
      </c>
    </row>
    <row r="430" spans="1:10" x14ac:dyDescent="0.3">
      <c r="A430" s="20">
        <v>4388161847</v>
      </c>
      <c r="B430" s="21">
        <v>42488</v>
      </c>
      <c r="C430" s="22" t="s">
        <v>12</v>
      </c>
      <c r="D430" s="22">
        <v>4</v>
      </c>
      <c r="E430" s="22">
        <v>10074</v>
      </c>
      <c r="F430" s="22">
        <v>7.75</v>
      </c>
      <c r="G430" s="22">
        <v>19</v>
      </c>
      <c r="H430" s="22">
        <v>9</v>
      </c>
      <c r="I430" s="22">
        <v>234</v>
      </c>
      <c r="J430" s="23">
        <v>2969</v>
      </c>
    </row>
    <row r="431" spans="1:10" x14ac:dyDescent="0.3">
      <c r="A431" s="20">
        <v>4388161847</v>
      </c>
      <c r="B431" s="21">
        <v>42489</v>
      </c>
      <c r="C431" s="22" t="s">
        <v>13</v>
      </c>
      <c r="D431" s="22">
        <v>5</v>
      </c>
      <c r="E431" s="22">
        <v>9232</v>
      </c>
      <c r="F431" s="22">
        <v>7.0999999046325701</v>
      </c>
      <c r="G431" s="22">
        <v>13</v>
      </c>
      <c r="H431" s="22">
        <v>16</v>
      </c>
      <c r="I431" s="22">
        <v>236</v>
      </c>
      <c r="J431" s="23">
        <v>2979</v>
      </c>
    </row>
    <row r="432" spans="1:10" x14ac:dyDescent="0.3">
      <c r="A432" s="20">
        <v>4388161847</v>
      </c>
      <c r="B432" s="21">
        <v>42490</v>
      </c>
      <c r="C432" s="22" t="s">
        <v>14</v>
      </c>
      <c r="D432" s="22">
        <v>6</v>
      </c>
      <c r="E432" s="22">
        <v>12533</v>
      </c>
      <c r="F432" s="22">
        <v>9.6400003433227504</v>
      </c>
      <c r="G432" s="22">
        <v>14</v>
      </c>
      <c r="H432" s="22">
        <v>43</v>
      </c>
      <c r="I432" s="22">
        <v>300</v>
      </c>
      <c r="J432" s="23">
        <v>3283</v>
      </c>
    </row>
    <row r="433" spans="1:10" x14ac:dyDescent="0.3">
      <c r="A433" s="20">
        <v>4388161847</v>
      </c>
      <c r="B433" s="21">
        <v>42491</v>
      </c>
      <c r="C433" s="22" t="s">
        <v>15</v>
      </c>
      <c r="D433" s="22">
        <v>0</v>
      </c>
      <c r="E433" s="22">
        <v>10255</v>
      </c>
      <c r="F433" s="22">
        <v>7.8899998664856001</v>
      </c>
      <c r="G433" s="22">
        <v>12</v>
      </c>
      <c r="H433" s="22">
        <v>15</v>
      </c>
      <c r="I433" s="22">
        <v>241</v>
      </c>
      <c r="J433" s="23">
        <v>2926</v>
      </c>
    </row>
    <row r="434" spans="1:10" x14ac:dyDescent="0.3">
      <c r="A434" s="20">
        <v>4388161847</v>
      </c>
      <c r="B434" s="21">
        <v>42492</v>
      </c>
      <c r="C434" s="22" t="s">
        <v>16</v>
      </c>
      <c r="D434" s="22">
        <v>1</v>
      </c>
      <c r="E434" s="22">
        <v>10096</v>
      </c>
      <c r="F434" s="22">
        <v>8.3999996185302699</v>
      </c>
      <c r="G434" s="22">
        <v>33</v>
      </c>
      <c r="H434" s="22">
        <v>4</v>
      </c>
      <c r="I434" s="22">
        <v>204</v>
      </c>
      <c r="J434" s="23">
        <v>3147</v>
      </c>
    </row>
    <row r="435" spans="1:10" x14ac:dyDescent="0.3">
      <c r="A435" s="20">
        <v>4388161847</v>
      </c>
      <c r="B435" s="21">
        <v>42493</v>
      </c>
      <c r="C435" s="22" t="s">
        <v>10</v>
      </c>
      <c r="D435" s="22">
        <v>2</v>
      </c>
      <c r="E435" s="22">
        <v>12727</v>
      </c>
      <c r="F435" s="22">
        <v>9.7899999618530291</v>
      </c>
      <c r="G435" s="22">
        <v>18</v>
      </c>
      <c r="H435" s="22">
        <v>18</v>
      </c>
      <c r="I435" s="22">
        <v>306</v>
      </c>
      <c r="J435" s="23">
        <v>3290</v>
      </c>
    </row>
    <row r="436" spans="1:10" x14ac:dyDescent="0.3">
      <c r="A436" s="20">
        <v>4388161847</v>
      </c>
      <c r="B436" s="21">
        <v>42494</v>
      </c>
      <c r="C436" s="22" t="s">
        <v>11</v>
      </c>
      <c r="D436" s="22">
        <v>3</v>
      </c>
      <c r="E436" s="22">
        <v>12375</v>
      </c>
      <c r="F436" s="22">
        <v>9.5200004577636701</v>
      </c>
      <c r="G436" s="22">
        <v>35</v>
      </c>
      <c r="H436" s="22">
        <v>21</v>
      </c>
      <c r="I436" s="22">
        <v>251</v>
      </c>
      <c r="J436" s="23">
        <v>3162</v>
      </c>
    </row>
    <row r="437" spans="1:10" x14ac:dyDescent="0.3">
      <c r="A437" s="20">
        <v>4388161847</v>
      </c>
      <c r="B437" s="21">
        <v>42495</v>
      </c>
      <c r="C437" s="22" t="s">
        <v>12</v>
      </c>
      <c r="D437" s="22">
        <v>4</v>
      </c>
      <c r="E437" s="22">
        <v>9603</v>
      </c>
      <c r="F437" s="22">
        <v>7.3800001144409197</v>
      </c>
      <c r="G437" s="22">
        <v>12</v>
      </c>
      <c r="H437" s="22">
        <v>39</v>
      </c>
      <c r="I437" s="22">
        <v>199</v>
      </c>
      <c r="J437" s="23">
        <v>2899</v>
      </c>
    </row>
    <row r="438" spans="1:10" x14ac:dyDescent="0.3">
      <c r="A438" s="20">
        <v>4388161847</v>
      </c>
      <c r="B438" s="21">
        <v>42496</v>
      </c>
      <c r="C438" s="22" t="s">
        <v>13</v>
      </c>
      <c r="D438" s="22">
        <v>5</v>
      </c>
      <c r="E438" s="22">
        <v>13175</v>
      </c>
      <c r="F438" s="22">
        <v>10.1300001144409</v>
      </c>
      <c r="G438" s="22">
        <v>33</v>
      </c>
      <c r="H438" s="22">
        <v>45</v>
      </c>
      <c r="I438" s="22">
        <v>262</v>
      </c>
      <c r="J438" s="23">
        <v>3425</v>
      </c>
    </row>
    <row r="439" spans="1:10" x14ac:dyDescent="0.3">
      <c r="A439" s="20">
        <v>4388161847</v>
      </c>
      <c r="B439" s="21">
        <v>42497</v>
      </c>
      <c r="C439" s="22" t="s">
        <v>14</v>
      </c>
      <c r="D439" s="22">
        <v>6</v>
      </c>
      <c r="E439" s="22">
        <v>22770</v>
      </c>
      <c r="F439" s="22">
        <v>17.540000915527301</v>
      </c>
      <c r="G439" s="22">
        <v>120</v>
      </c>
      <c r="H439" s="22">
        <v>56</v>
      </c>
      <c r="I439" s="22">
        <v>260</v>
      </c>
      <c r="J439" s="23">
        <v>4022</v>
      </c>
    </row>
    <row r="440" spans="1:10" x14ac:dyDescent="0.3">
      <c r="A440" s="20">
        <v>4388161847</v>
      </c>
      <c r="B440" s="21">
        <v>42498</v>
      </c>
      <c r="C440" s="22" t="s">
        <v>15</v>
      </c>
      <c r="D440" s="22">
        <v>0</v>
      </c>
      <c r="E440" s="22">
        <v>17298</v>
      </c>
      <c r="F440" s="22">
        <v>14.3800001144409</v>
      </c>
      <c r="G440" s="22">
        <v>107</v>
      </c>
      <c r="H440" s="22">
        <v>38</v>
      </c>
      <c r="I440" s="22">
        <v>178</v>
      </c>
      <c r="J440" s="23">
        <v>3934</v>
      </c>
    </row>
    <row r="441" spans="1:10" x14ac:dyDescent="0.3">
      <c r="A441" s="20">
        <v>4388161847</v>
      </c>
      <c r="B441" s="21">
        <v>42499</v>
      </c>
      <c r="C441" s="22" t="s">
        <v>16</v>
      </c>
      <c r="D441" s="22">
        <v>1</v>
      </c>
      <c r="E441" s="22">
        <v>10218</v>
      </c>
      <c r="F441" s="22">
        <v>7.8600001335143999</v>
      </c>
      <c r="G441" s="22">
        <v>6</v>
      </c>
      <c r="H441" s="22">
        <v>19</v>
      </c>
      <c r="I441" s="22">
        <v>258</v>
      </c>
      <c r="J441" s="23">
        <v>3013</v>
      </c>
    </row>
    <row r="442" spans="1:10" x14ac:dyDescent="0.3">
      <c r="A442" s="20">
        <v>4388161847</v>
      </c>
      <c r="B442" s="21">
        <v>42500</v>
      </c>
      <c r="C442" s="22" t="s">
        <v>10</v>
      </c>
      <c r="D442" s="22">
        <v>2</v>
      </c>
      <c r="E442" s="22">
        <v>10299</v>
      </c>
      <c r="F442" s="22">
        <v>7.9200000762939498</v>
      </c>
      <c r="G442" s="22">
        <v>13</v>
      </c>
      <c r="H442" s="22">
        <v>14</v>
      </c>
      <c r="I442" s="22">
        <v>267</v>
      </c>
      <c r="J442" s="23">
        <v>3061</v>
      </c>
    </row>
    <row r="443" spans="1:10" x14ac:dyDescent="0.3">
      <c r="A443" s="20">
        <v>4388161847</v>
      </c>
      <c r="B443" s="21">
        <v>42501</v>
      </c>
      <c r="C443" s="22" t="s">
        <v>11</v>
      </c>
      <c r="D443" s="22">
        <v>3</v>
      </c>
      <c r="E443" s="22">
        <v>10201</v>
      </c>
      <c r="F443" s="22">
        <v>7.8400001525878897</v>
      </c>
      <c r="G443" s="22">
        <v>8</v>
      </c>
      <c r="H443" s="22">
        <v>18</v>
      </c>
      <c r="I443" s="22">
        <v>256</v>
      </c>
      <c r="J443" s="23">
        <v>2954</v>
      </c>
    </row>
    <row r="444" spans="1:10" x14ac:dyDescent="0.3">
      <c r="A444" s="20">
        <v>4388161847</v>
      </c>
      <c r="B444" s="21">
        <v>42502</v>
      </c>
      <c r="C444" s="22" t="s">
        <v>12</v>
      </c>
      <c r="D444" s="22">
        <v>4</v>
      </c>
      <c r="E444" s="22">
        <v>3369</v>
      </c>
      <c r="F444" s="22">
        <v>2.5899999141693102</v>
      </c>
      <c r="G444" s="22">
        <v>0</v>
      </c>
      <c r="H444" s="22">
        <v>0</v>
      </c>
      <c r="I444" s="22">
        <v>108</v>
      </c>
      <c r="J444" s="23">
        <v>1623</v>
      </c>
    </row>
    <row r="445" spans="1:10" x14ac:dyDescent="0.3">
      <c r="A445" s="20">
        <v>4445114986</v>
      </c>
      <c r="B445" s="21">
        <v>42472</v>
      </c>
      <c r="C445" s="22" t="s">
        <v>10</v>
      </c>
      <c r="D445" s="22">
        <v>2</v>
      </c>
      <c r="E445" s="22">
        <v>3276</v>
      </c>
      <c r="F445" s="22">
        <v>2.2000000476837198</v>
      </c>
      <c r="G445" s="22">
        <v>0</v>
      </c>
      <c r="H445" s="22">
        <v>0</v>
      </c>
      <c r="I445" s="22">
        <v>196</v>
      </c>
      <c r="J445" s="23">
        <v>2113</v>
      </c>
    </row>
    <row r="446" spans="1:10" x14ac:dyDescent="0.3">
      <c r="A446" s="20">
        <v>4445114986</v>
      </c>
      <c r="B446" s="21">
        <v>42473</v>
      </c>
      <c r="C446" s="22" t="s">
        <v>11</v>
      </c>
      <c r="D446" s="22">
        <v>3</v>
      </c>
      <c r="E446" s="22">
        <v>2961</v>
      </c>
      <c r="F446" s="22">
        <v>1.9900000095367401</v>
      </c>
      <c r="G446" s="22">
        <v>0</v>
      </c>
      <c r="H446" s="22">
        <v>0</v>
      </c>
      <c r="I446" s="22">
        <v>194</v>
      </c>
      <c r="J446" s="23">
        <v>2095</v>
      </c>
    </row>
    <row r="447" spans="1:10" x14ac:dyDescent="0.3">
      <c r="A447" s="20">
        <v>4445114986</v>
      </c>
      <c r="B447" s="21">
        <v>42474</v>
      </c>
      <c r="C447" s="22" t="s">
        <v>12</v>
      </c>
      <c r="D447" s="22">
        <v>4</v>
      </c>
      <c r="E447" s="22">
        <v>3974</v>
      </c>
      <c r="F447" s="22">
        <v>2.6700000762939502</v>
      </c>
      <c r="G447" s="22">
        <v>0</v>
      </c>
      <c r="H447" s="22">
        <v>0</v>
      </c>
      <c r="I447" s="22">
        <v>231</v>
      </c>
      <c r="J447" s="23">
        <v>2194</v>
      </c>
    </row>
    <row r="448" spans="1:10" x14ac:dyDescent="0.3">
      <c r="A448" s="20">
        <v>4445114986</v>
      </c>
      <c r="B448" s="21">
        <v>42475</v>
      </c>
      <c r="C448" s="22" t="s">
        <v>13</v>
      </c>
      <c r="D448" s="22">
        <v>5</v>
      </c>
      <c r="E448" s="22">
        <v>7198</v>
      </c>
      <c r="F448" s="22">
        <v>4.8299999237060502</v>
      </c>
      <c r="G448" s="22">
        <v>0</v>
      </c>
      <c r="H448" s="22">
        <v>0</v>
      </c>
      <c r="I448" s="22">
        <v>350</v>
      </c>
      <c r="J448" s="23">
        <v>2496</v>
      </c>
    </row>
    <row r="449" spans="1:10" x14ac:dyDescent="0.3">
      <c r="A449" s="20">
        <v>4445114986</v>
      </c>
      <c r="B449" s="21">
        <v>42476</v>
      </c>
      <c r="C449" s="22" t="s">
        <v>14</v>
      </c>
      <c r="D449" s="22">
        <v>6</v>
      </c>
      <c r="E449" s="22">
        <v>3945</v>
      </c>
      <c r="F449" s="22">
        <v>2.6500000953674299</v>
      </c>
      <c r="G449" s="22">
        <v>0</v>
      </c>
      <c r="H449" s="22">
        <v>0</v>
      </c>
      <c r="I449" s="22">
        <v>225</v>
      </c>
      <c r="J449" s="23">
        <v>2180</v>
      </c>
    </row>
    <row r="450" spans="1:10" x14ac:dyDescent="0.3">
      <c r="A450" s="20">
        <v>4445114986</v>
      </c>
      <c r="B450" s="21">
        <v>42477</v>
      </c>
      <c r="C450" s="22" t="s">
        <v>15</v>
      </c>
      <c r="D450" s="22">
        <v>0</v>
      </c>
      <c r="E450" s="22">
        <v>2268</v>
      </c>
      <c r="F450" s="22">
        <v>1.5199999809265099</v>
      </c>
      <c r="G450" s="22">
        <v>0</v>
      </c>
      <c r="H450" s="22">
        <v>0</v>
      </c>
      <c r="I450" s="22">
        <v>114</v>
      </c>
      <c r="J450" s="23">
        <v>1933</v>
      </c>
    </row>
    <row r="451" spans="1:10" x14ac:dyDescent="0.3">
      <c r="A451" s="20">
        <v>4445114986</v>
      </c>
      <c r="B451" s="21">
        <v>42478</v>
      </c>
      <c r="C451" s="22" t="s">
        <v>16</v>
      </c>
      <c r="D451" s="22">
        <v>1</v>
      </c>
      <c r="E451" s="22">
        <v>6155</v>
      </c>
      <c r="F451" s="22">
        <v>4.2399997711181596</v>
      </c>
      <c r="G451" s="22">
        <v>25</v>
      </c>
      <c r="H451" s="22">
        <v>6</v>
      </c>
      <c r="I451" s="22">
        <v>162</v>
      </c>
      <c r="J451" s="23">
        <v>2248</v>
      </c>
    </row>
    <row r="452" spans="1:10" x14ac:dyDescent="0.3">
      <c r="A452" s="20">
        <v>4445114986</v>
      </c>
      <c r="B452" s="21">
        <v>42479</v>
      </c>
      <c r="C452" s="22" t="s">
        <v>10</v>
      </c>
      <c r="D452" s="22">
        <v>2</v>
      </c>
      <c r="E452" s="22">
        <v>2064</v>
      </c>
      <c r="F452" s="22">
        <v>1.3899999856948899</v>
      </c>
      <c r="G452" s="22">
        <v>0</v>
      </c>
      <c r="H452" s="22">
        <v>0</v>
      </c>
      <c r="I452" s="22">
        <v>121</v>
      </c>
      <c r="J452" s="23">
        <v>1954</v>
      </c>
    </row>
    <row r="453" spans="1:10" x14ac:dyDescent="0.3">
      <c r="A453" s="20">
        <v>4445114986</v>
      </c>
      <c r="B453" s="21">
        <v>42480</v>
      </c>
      <c r="C453" s="22" t="s">
        <v>11</v>
      </c>
      <c r="D453" s="22">
        <v>3</v>
      </c>
      <c r="E453" s="22">
        <v>2072</v>
      </c>
      <c r="F453" s="22">
        <v>1.3899999856948899</v>
      </c>
      <c r="G453" s="22">
        <v>0</v>
      </c>
      <c r="H453" s="22">
        <v>0</v>
      </c>
      <c r="I453" s="22">
        <v>137</v>
      </c>
      <c r="J453" s="23">
        <v>1974</v>
      </c>
    </row>
    <row r="454" spans="1:10" x14ac:dyDescent="0.3">
      <c r="A454" s="20">
        <v>4445114986</v>
      </c>
      <c r="B454" s="21">
        <v>42481</v>
      </c>
      <c r="C454" s="22" t="s">
        <v>12</v>
      </c>
      <c r="D454" s="22">
        <v>4</v>
      </c>
      <c r="E454" s="22">
        <v>3809</v>
      </c>
      <c r="F454" s="22">
        <v>2.5599999427795401</v>
      </c>
      <c r="G454" s="22">
        <v>0</v>
      </c>
      <c r="H454" s="22">
        <v>0</v>
      </c>
      <c r="I454" s="22">
        <v>215</v>
      </c>
      <c r="J454" s="23">
        <v>2150</v>
      </c>
    </row>
    <row r="455" spans="1:10" x14ac:dyDescent="0.3">
      <c r="A455" s="20">
        <v>4445114986</v>
      </c>
      <c r="B455" s="21">
        <v>42482</v>
      </c>
      <c r="C455" s="22" t="s">
        <v>13</v>
      </c>
      <c r="D455" s="22">
        <v>5</v>
      </c>
      <c r="E455" s="22">
        <v>6831</v>
      </c>
      <c r="F455" s="22">
        <v>4.5799999237060502</v>
      </c>
      <c r="G455" s="22">
        <v>0</v>
      </c>
      <c r="H455" s="22">
        <v>0</v>
      </c>
      <c r="I455" s="22">
        <v>317</v>
      </c>
      <c r="J455" s="23">
        <v>2432</v>
      </c>
    </row>
    <row r="456" spans="1:10" x14ac:dyDescent="0.3">
      <c r="A456" s="20">
        <v>4445114986</v>
      </c>
      <c r="B456" s="21">
        <v>42483</v>
      </c>
      <c r="C456" s="22" t="s">
        <v>14</v>
      </c>
      <c r="D456" s="22">
        <v>6</v>
      </c>
      <c r="E456" s="22">
        <v>4363</v>
      </c>
      <c r="F456" s="22">
        <v>2.9300000667571999</v>
      </c>
      <c r="G456" s="22">
        <v>0</v>
      </c>
      <c r="H456" s="22">
        <v>0</v>
      </c>
      <c r="I456" s="22">
        <v>201</v>
      </c>
      <c r="J456" s="23">
        <v>2149</v>
      </c>
    </row>
    <row r="457" spans="1:10" x14ac:dyDescent="0.3">
      <c r="A457" s="20">
        <v>4445114986</v>
      </c>
      <c r="B457" s="21">
        <v>42484</v>
      </c>
      <c r="C457" s="22" t="s">
        <v>15</v>
      </c>
      <c r="D457" s="22">
        <v>0</v>
      </c>
      <c r="E457" s="22">
        <v>5002</v>
      </c>
      <c r="F457" s="22">
        <v>3.3599998950958301</v>
      </c>
      <c r="G457" s="22">
        <v>0</v>
      </c>
      <c r="H457" s="22">
        <v>0</v>
      </c>
      <c r="I457" s="22">
        <v>244</v>
      </c>
      <c r="J457" s="23">
        <v>2247</v>
      </c>
    </row>
    <row r="458" spans="1:10" x14ac:dyDescent="0.3">
      <c r="A458" s="20">
        <v>4445114986</v>
      </c>
      <c r="B458" s="21">
        <v>42485</v>
      </c>
      <c r="C458" s="22" t="s">
        <v>16</v>
      </c>
      <c r="D458" s="22">
        <v>1</v>
      </c>
      <c r="E458" s="22">
        <v>3385</v>
      </c>
      <c r="F458" s="22">
        <v>2.2699999809265101</v>
      </c>
      <c r="G458" s="22">
        <v>0</v>
      </c>
      <c r="H458" s="22">
        <v>0</v>
      </c>
      <c r="I458" s="22">
        <v>179</v>
      </c>
      <c r="J458" s="23">
        <v>2070</v>
      </c>
    </row>
    <row r="459" spans="1:10" x14ac:dyDescent="0.3">
      <c r="A459" s="20">
        <v>4445114986</v>
      </c>
      <c r="B459" s="21">
        <v>42486</v>
      </c>
      <c r="C459" s="22" t="s">
        <v>10</v>
      </c>
      <c r="D459" s="22">
        <v>2</v>
      </c>
      <c r="E459" s="22">
        <v>6326</v>
      </c>
      <c r="F459" s="22">
        <v>4.4099998474121103</v>
      </c>
      <c r="G459" s="22">
        <v>29</v>
      </c>
      <c r="H459" s="22">
        <v>1</v>
      </c>
      <c r="I459" s="22">
        <v>180</v>
      </c>
      <c r="J459" s="23">
        <v>2291</v>
      </c>
    </row>
    <row r="460" spans="1:10" x14ac:dyDescent="0.3">
      <c r="A460" s="20">
        <v>4445114986</v>
      </c>
      <c r="B460" s="21">
        <v>42487</v>
      </c>
      <c r="C460" s="22" t="s">
        <v>11</v>
      </c>
      <c r="D460" s="22">
        <v>3</v>
      </c>
      <c r="E460" s="22">
        <v>7243</v>
      </c>
      <c r="F460" s="22">
        <v>5.0300002098083496</v>
      </c>
      <c r="G460" s="22">
        <v>32</v>
      </c>
      <c r="H460" s="22">
        <v>1</v>
      </c>
      <c r="I460" s="22">
        <v>194</v>
      </c>
      <c r="J460" s="23">
        <v>2361</v>
      </c>
    </row>
    <row r="461" spans="1:10" x14ac:dyDescent="0.3">
      <c r="A461" s="20">
        <v>4445114986</v>
      </c>
      <c r="B461" s="21">
        <v>42488</v>
      </c>
      <c r="C461" s="22" t="s">
        <v>12</v>
      </c>
      <c r="D461" s="22">
        <v>4</v>
      </c>
      <c r="E461" s="22">
        <v>4493</v>
      </c>
      <c r="F461" s="22">
        <v>3.0099999904632599</v>
      </c>
      <c r="G461" s="22">
        <v>0</v>
      </c>
      <c r="H461" s="22">
        <v>0</v>
      </c>
      <c r="I461" s="22">
        <v>236</v>
      </c>
      <c r="J461" s="23">
        <v>2203</v>
      </c>
    </row>
    <row r="462" spans="1:10" x14ac:dyDescent="0.3">
      <c r="A462" s="20">
        <v>4445114986</v>
      </c>
      <c r="B462" s="21">
        <v>42489</v>
      </c>
      <c r="C462" s="22" t="s">
        <v>13</v>
      </c>
      <c r="D462" s="22">
        <v>5</v>
      </c>
      <c r="E462" s="22">
        <v>4676</v>
      </c>
      <c r="F462" s="22">
        <v>3.1400001049041699</v>
      </c>
      <c r="G462" s="22">
        <v>0</v>
      </c>
      <c r="H462" s="22">
        <v>0</v>
      </c>
      <c r="I462" s="22">
        <v>226</v>
      </c>
      <c r="J462" s="23">
        <v>2196</v>
      </c>
    </row>
    <row r="463" spans="1:10" x14ac:dyDescent="0.3">
      <c r="A463" s="20">
        <v>4445114986</v>
      </c>
      <c r="B463" s="21">
        <v>42490</v>
      </c>
      <c r="C463" s="22" t="s">
        <v>14</v>
      </c>
      <c r="D463" s="22">
        <v>6</v>
      </c>
      <c r="E463" s="22">
        <v>6222</v>
      </c>
      <c r="F463" s="22">
        <v>4.1799998283386204</v>
      </c>
      <c r="G463" s="22">
        <v>0</v>
      </c>
      <c r="H463" s="22">
        <v>0</v>
      </c>
      <c r="I463" s="22">
        <v>290</v>
      </c>
      <c r="J463" s="23">
        <v>2363</v>
      </c>
    </row>
    <row r="464" spans="1:10" x14ac:dyDescent="0.3">
      <c r="A464" s="20">
        <v>4445114986</v>
      </c>
      <c r="B464" s="21">
        <v>42491</v>
      </c>
      <c r="C464" s="22" t="s">
        <v>15</v>
      </c>
      <c r="D464" s="22">
        <v>0</v>
      </c>
      <c r="E464" s="22">
        <v>5232</v>
      </c>
      <c r="F464" s="22">
        <v>3.5099999904632599</v>
      </c>
      <c r="G464" s="22">
        <v>0</v>
      </c>
      <c r="H464" s="22">
        <v>0</v>
      </c>
      <c r="I464" s="22">
        <v>240</v>
      </c>
      <c r="J464" s="23">
        <v>2246</v>
      </c>
    </row>
    <row r="465" spans="1:10" x14ac:dyDescent="0.3">
      <c r="A465" s="20">
        <v>4445114986</v>
      </c>
      <c r="B465" s="21">
        <v>42492</v>
      </c>
      <c r="C465" s="22" t="s">
        <v>16</v>
      </c>
      <c r="D465" s="22">
        <v>1</v>
      </c>
      <c r="E465" s="22">
        <v>6910</v>
      </c>
      <c r="F465" s="22">
        <v>4.75</v>
      </c>
      <c r="G465" s="22">
        <v>27</v>
      </c>
      <c r="H465" s="22">
        <v>4</v>
      </c>
      <c r="I465" s="22">
        <v>200</v>
      </c>
      <c r="J465" s="23">
        <v>2336</v>
      </c>
    </row>
    <row r="466" spans="1:10" x14ac:dyDescent="0.3">
      <c r="A466" s="20">
        <v>4445114986</v>
      </c>
      <c r="B466" s="21">
        <v>42493</v>
      </c>
      <c r="C466" s="22" t="s">
        <v>10</v>
      </c>
      <c r="D466" s="22">
        <v>2</v>
      </c>
      <c r="E466" s="22">
        <v>7502</v>
      </c>
      <c r="F466" s="22">
        <v>5.1799998283386204</v>
      </c>
      <c r="G466" s="22">
        <v>30</v>
      </c>
      <c r="H466" s="22">
        <v>2</v>
      </c>
      <c r="I466" s="22">
        <v>233</v>
      </c>
      <c r="J466" s="23">
        <v>2421</v>
      </c>
    </row>
    <row r="467" spans="1:10" x14ac:dyDescent="0.3">
      <c r="A467" s="20">
        <v>4445114986</v>
      </c>
      <c r="B467" s="21">
        <v>42494</v>
      </c>
      <c r="C467" s="22" t="s">
        <v>11</v>
      </c>
      <c r="D467" s="22">
        <v>3</v>
      </c>
      <c r="E467" s="22">
        <v>2923</v>
      </c>
      <c r="F467" s="22">
        <v>1.96000003814697</v>
      </c>
      <c r="G467" s="22">
        <v>0</v>
      </c>
      <c r="H467" s="22">
        <v>0</v>
      </c>
      <c r="I467" s="22">
        <v>180</v>
      </c>
      <c r="J467" s="23">
        <v>2070</v>
      </c>
    </row>
    <row r="468" spans="1:10" x14ac:dyDescent="0.3">
      <c r="A468" s="20">
        <v>4445114986</v>
      </c>
      <c r="B468" s="21">
        <v>42495</v>
      </c>
      <c r="C468" s="22" t="s">
        <v>12</v>
      </c>
      <c r="D468" s="22">
        <v>4</v>
      </c>
      <c r="E468" s="22">
        <v>3800</v>
      </c>
      <c r="F468" s="22">
        <v>2.5499999523162802</v>
      </c>
      <c r="G468" s="22">
        <v>2</v>
      </c>
      <c r="H468" s="22">
        <v>6</v>
      </c>
      <c r="I468" s="22">
        <v>185</v>
      </c>
      <c r="J468" s="23">
        <v>2120</v>
      </c>
    </row>
    <row r="469" spans="1:10" x14ac:dyDescent="0.3">
      <c r="A469" s="20">
        <v>4445114986</v>
      </c>
      <c r="B469" s="21">
        <v>42496</v>
      </c>
      <c r="C469" s="22" t="s">
        <v>13</v>
      </c>
      <c r="D469" s="22">
        <v>5</v>
      </c>
      <c r="E469" s="22">
        <v>4514</v>
      </c>
      <c r="F469" s="22">
        <v>3.0299999713897701</v>
      </c>
      <c r="G469" s="22">
        <v>0</v>
      </c>
      <c r="H469" s="22">
        <v>0</v>
      </c>
      <c r="I469" s="22">
        <v>229</v>
      </c>
      <c r="J469" s="23">
        <v>2211</v>
      </c>
    </row>
    <row r="470" spans="1:10" x14ac:dyDescent="0.3">
      <c r="A470" s="20">
        <v>4445114986</v>
      </c>
      <c r="B470" s="21">
        <v>42497</v>
      </c>
      <c r="C470" s="22" t="s">
        <v>14</v>
      </c>
      <c r="D470" s="22">
        <v>6</v>
      </c>
      <c r="E470" s="22">
        <v>5183</v>
      </c>
      <c r="F470" s="22">
        <v>3.5899999141693102</v>
      </c>
      <c r="G470" s="22">
        <v>26</v>
      </c>
      <c r="H470" s="22">
        <v>4</v>
      </c>
      <c r="I470" s="22">
        <v>108</v>
      </c>
      <c r="J470" s="23">
        <v>2123</v>
      </c>
    </row>
    <row r="471" spans="1:10" x14ac:dyDescent="0.3">
      <c r="A471" s="20">
        <v>4445114986</v>
      </c>
      <c r="B471" s="21">
        <v>42498</v>
      </c>
      <c r="C471" s="22" t="s">
        <v>15</v>
      </c>
      <c r="D471" s="22">
        <v>0</v>
      </c>
      <c r="E471" s="22">
        <v>7303</v>
      </c>
      <c r="F471" s="22">
        <v>4.9000000953674299</v>
      </c>
      <c r="G471" s="22">
        <v>0</v>
      </c>
      <c r="H471" s="22">
        <v>8</v>
      </c>
      <c r="I471" s="22">
        <v>308</v>
      </c>
      <c r="J471" s="23">
        <v>2423</v>
      </c>
    </row>
    <row r="472" spans="1:10" x14ac:dyDescent="0.3">
      <c r="A472" s="20">
        <v>4445114986</v>
      </c>
      <c r="B472" s="21">
        <v>42499</v>
      </c>
      <c r="C472" s="22" t="s">
        <v>16</v>
      </c>
      <c r="D472" s="22">
        <v>1</v>
      </c>
      <c r="E472" s="22">
        <v>5275</v>
      </c>
      <c r="F472" s="22">
        <v>3.53999996185303</v>
      </c>
      <c r="G472" s="22">
        <v>0</v>
      </c>
      <c r="H472" s="22">
        <v>0</v>
      </c>
      <c r="I472" s="22">
        <v>266</v>
      </c>
      <c r="J472" s="23">
        <v>2281</v>
      </c>
    </row>
    <row r="473" spans="1:10" x14ac:dyDescent="0.3">
      <c r="A473" s="20">
        <v>4445114986</v>
      </c>
      <c r="B473" s="21">
        <v>42500</v>
      </c>
      <c r="C473" s="22" t="s">
        <v>10</v>
      </c>
      <c r="D473" s="22">
        <v>2</v>
      </c>
      <c r="E473" s="22">
        <v>3915</v>
      </c>
      <c r="F473" s="22">
        <v>2.6300001144409202</v>
      </c>
      <c r="G473" s="22">
        <v>0</v>
      </c>
      <c r="H473" s="22">
        <v>0</v>
      </c>
      <c r="I473" s="22">
        <v>231</v>
      </c>
      <c r="J473" s="23">
        <v>2181</v>
      </c>
    </row>
    <row r="474" spans="1:10" x14ac:dyDescent="0.3">
      <c r="A474" s="20">
        <v>4445114986</v>
      </c>
      <c r="B474" s="21">
        <v>42501</v>
      </c>
      <c r="C474" s="22" t="s">
        <v>11</v>
      </c>
      <c r="D474" s="22">
        <v>3</v>
      </c>
      <c r="E474" s="22">
        <v>9105</v>
      </c>
      <c r="F474" s="22">
        <v>6.1100001335143999</v>
      </c>
      <c r="G474" s="22">
        <v>34</v>
      </c>
      <c r="H474" s="22">
        <v>22</v>
      </c>
      <c r="I474" s="22">
        <v>232</v>
      </c>
      <c r="J474" s="23">
        <v>2499</v>
      </c>
    </row>
    <row r="475" spans="1:10" x14ac:dyDescent="0.3">
      <c r="A475" s="20">
        <v>4445114986</v>
      </c>
      <c r="B475" s="21">
        <v>42502</v>
      </c>
      <c r="C475" s="22" t="s">
        <v>12</v>
      </c>
      <c r="D475" s="22">
        <v>4</v>
      </c>
      <c r="E475" s="22">
        <v>768</v>
      </c>
      <c r="F475" s="22">
        <v>0.519999980926514</v>
      </c>
      <c r="G475" s="22">
        <v>0</v>
      </c>
      <c r="H475" s="22">
        <v>0</v>
      </c>
      <c r="I475" s="22">
        <v>58</v>
      </c>
      <c r="J475" s="23">
        <v>1212</v>
      </c>
    </row>
    <row r="476" spans="1:10" x14ac:dyDescent="0.3">
      <c r="A476" s="20">
        <v>4558609924</v>
      </c>
      <c r="B476" s="21">
        <v>42472</v>
      </c>
      <c r="C476" s="22" t="s">
        <v>10</v>
      </c>
      <c r="D476" s="22">
        <v>2</v>
      </c>
      <c r="E476" s="22">
        <v>5135</v>
      </c>
      <c r="F476" s="22">
        <v>3.3900001049041699</v>
      </c>
      <c r="G476" s="22">
        <v>0</v>
      </c>
      <c r="H476" s="22">
        <v>0</v>
      </c>
      <c r="I476" s="22">
        <v>318</v>
      </c>
      <c r="J476" s="23">
        <v>1909</v>
      </c>
    </row>
    <row r="477" spans="1:10" x14ac:dyDescent="0.3">
      <c r="A477" s="20">
        <v>4558609924</v>
      </c>
      <c r="B477" s="21">
        <v>42473</v>
      </c>
      <c r="C477" s="22" t="s">
        <v>11</v>
      </c>
      <c r="D477" s="22">
        <v>3</v>
      </c>
      <c r="E477" s="22">
        <v>4978</v>
      </c>
      <c r="F477" s="22">
        <v>3.28999996185303</v>
      </c>
      <c r="G477" s="22">
        <v>19</v>
      </c>
      <c r="H477" s="22">
        <v>7</v>
      </c>
      <c r="I477" s="22">
        <v>127</v>
      </c>
      <c r="J477" s="23">
        <v>1722</v>
      </c>
    </row>
    <row r="478" spans="1:10" x14ac:dyDescent="0.3">
      <c r="A478" s="20">
        <v>4558609924</v>
      </c>
      <c r="B478" s="21">
        <v>42474</v>
      </c>
      <c r="C478" s="22" t="s">
        <v>12</v>
      </c>
      <c r="D478" s="22">
        <v>4</v>
      </c>
      <c r="E478" s="22">
        <v>6799</v>
      </c>
      <c r="F478" s="22">
        <v>4.4899997711181596</v>
      </c>
      <c r="G478" s="22">
        <v>0</v>
      </c>
      <c r="H478" s="22">
        <v>0</v>
      </c>
      <c r="I478" s="22">
        <v>279</v>
      </c>
      <c r="J478" s="23">
        <v>1922</v>
      </c>
    </row>
    <row r="479" spans="1:10" x14ac:dyDescent="0.3">
      <c r="A479" s="20">
        <v>4558609924</v>
      </c>
      <c r="B479" s="21">
        <v>42475</v>
      </c>
      <c r="C479" s="22" t="s">
        <v>13</v>
      </c>
      <c r="D479" s="22">
        <v>5</v>
      </c>
      <c r="E479" s="22">
        <v>7795</v>
      </c>
      <c r="F479" s="22">
        <v>5.1500000953674299</v>
      </c>
      <c r="G479" s="22">
        <v>17</v>
      </c>
      <c r="H479" s="22">
        <v>30</v>
      </c>
      <c r="I479" s="22">
        <v>262</v>
      </c>
      <c r="J479" s="23">
        <v>2121</v>
      </c>
    </row>
    <row r="480" spans="1:10" x14ac:dyDescent="0.3">
      <c r="A480" s="20">
        <v>4558609924</v>
      </c>
      <c r="B480" s="21">
        <v>42476</v>
      </c>
      <c r="C480" s="22" t="s">
        <v>14</v>
      </c>
      <c r="D480" s="22">
        <v>6</v>
      </c>
      <c r="E480" s="22">
        <v>7289</v>
      </c>
      <c r="F480" s="22">
        <v>4.8200001716613796</v>
      </c>
      <c r="G480" s="22">
        <v>8</v>
      </c>
      <c r="H480" s="22">
        <v>12</v>
      </c>
      <c r="I480" s="22">
        <v>308</v>
      </c>
      <c r="J480" s="23">
        <v>1997</v>
      </c>
    </row>
    <row r="481" spans="1:10" x14ac:dyDescent="0.3">
      <c r="A481" s="20">
        <v>4558609924</v>
      </c>
      <c r="B481" s="21">
        <v>42477</v>
      </c>
      <c r="C481" s="22" t="s">
        <v>15</v>
      </c>
      <c r="D481" s="22">
        <v>0</v>
      </c>
      <c r="E481" s="22">
        <v>9634</v>
      </c>
      <c r="F481" s="22">
        <v>6.4000000953674299</v>
      </c>
      <c r="G481" s="22">
        <v>7</v>
      </c>
      <c r="H481" s="22">
        <v>19</v>
      </c>
      <c r="I481" s="22">
        <v>304</v>
      </c>
      <c r="J481" s="23">
        <v>2117</v>
      </c>
    </row>
    <row r="482" spans="1:10" x14ac:dyDescent="0.3">
      <c r="A482" s="20">
        <v>4558609924</v>
      </c>
      <c r="B482" s="21">
        <v>42478</v>
      </c>
      <c r="C482" s="22" t="s">
        <v>16</v>
      </c>
      <c r="D482" s="22">
        <v>1</v>
      </c>
      <c r="E482" s="22">
        <v>8940</v>
      </c>
      <c r="F482" s="22">
        <v>5.9099998474121103</v>
      </c>
      <c r="G482" s="22">
        <v>14</v>
      </c>
      <c r="H482" s="22">
        <v>15</v>
      </c>
      <c r="I482" s="22">
        <v>331</v>
      </c>
      <c r="J482" s="23">
        <v>2116</v>
      </c>
    </row>
    <row r="483" spans="1:10" x14ac:dyDescent="0.3">
      <c r="A483" s="20">
        <v>4558609924</v>
      </c>
      <c r="B483" s="21">
        <v>42479</v>
      </c>
      <c r="C483" s="22" t="s">
        <v>10</v>
      </c>
      <c r="D483" s="22">
        <v>2</v>
      </c>
      <c r="E483" s="22">
        <v>5401</v>
      </c>
      <c r="F483" s="22">
        <v>3.5699999332428001</v>
      </c>
      <c r="G483" s="22">
        <v>1</v>
      </c>
      <c r="H483" s="22">
        <v>9</v>
      </c>
      <c r="I483" s="22">
        <v>248</v>
      </c>
      <c r="J483" s="23">
        <v>1876</v>
      </c>
    </row>
    <row r="484" spans="1:10" x14ac:dyDescent="0.3">
      <c r="A484" s="20">
        <v>4558609924</v>
      </c>
      <c r="B484" s="21">
        <v>42480</v>
      </c>
      <c r="C484" s="22" t="s">
        <v>11</v>
      </c>
      <c r="D484" s="22">
        <v>3</v>
      </c>
      <c r="E484" s="22">
        <v>4803</v>
      </c>
      <c r="F484" s="22">
        <v>3.1700000762939502</v>
      </c>
      <c r="G484" s="22">
        <v>0</v>
      </c>
      <c r="H484" s="22">
        <v>0</v>
      </c>
      <c r="I484" s="22">
        <v>222</v>
      </c>
      <c r="J484" s="23">
        <v>1788</v>
      </c>
    </row>
    <row r="485" spans="1:10" x14ac:dyDescent="0.3">
      <c r="A485" s="20">
        <v>4558609924</v>
      </c>
      <c r="B485" s="21">
        <v>42481</v>
      </c>
      <c r="C485" s="22" t="s">
        <v>12</v>
      </c>
      <c r="D485" s="22">
        <v>4</v>
      </c>
      <c r="E485" s="22">
        <v>13743</v>
      </c>
      <c r="F485" s="22">
        <v>9.0799999237060494</v>
      </c>
      <c r="G485" s="22">
        <v>6</v>
      </c>
      <c r="H485" s="22">
        <v>21</v>
      </c>
      <c r="I485" s="22">
        <v>432</v>
      </c>
      <c r="J485" s="23">
        <v>2486</v>
      </c>
    </row>
    <row r="486" spans="1:10" x14ac:dyDescent="0.3">
      <c r="A486" s="20">
        <v>4558609924</v>
      </c>
      <c r="B486" s="21">
        <v>42482</v>
      </c>
      <c r="C486" s="22" t="s">
        <v>13</v>
      </c>
      <c r="D486" s="22">
        <v>5</v>
      </c>
      <c r="E486" s="22">
        <v>9601</v>
      </c>
      <c r="F486" s="22">
        <v>6.3499999046325701</v>
      </c>
      <c r="G486" s="22">
        <v>20</v>
      </c>
      <c r="H486" s="22">
        <v>25</v>
      </c>
      <c r="I486" s="22">
        <v>273</v>
      </c>
      <c r="J486" s="23">
        <v>2094</v>
      </c>
    </row>
    <row r="487" spans="1:10" x14ac:dyDescent="0.3">
      <c r="A487" s="20">
        <v>4558609924</v>
      </c>
      <c r="B487" s="21">
        <v>42483</v>
      </c>
      <c r="C487" s="22" t="s">
        <v>14</v>
      </c>
      <c r="D487" s="22">
        <v>6</v>
      </c>
      <c r="E487" s="22">
        <v>6890</v>
      </c>
      <c r="F487" s="22">
        <v>4.5500001907348597</v>
      </c>
      <c r="G487" s="22">
        <v>5</v>
      </c>
      <c r="H487" s="22">
        <v>5</v>
      </c>
      <c r="I487" s="22">
        <v>308</v>
      </c>
      <c r="J487" s="23">
        <v>2085</v>
      </c>
    </row>
    <row r="488" spans="1:10" x14ac:dyDescent="0.3">
      <c r="A488" s="20">
        <v>4558609924</v>
      </c>
      <c r="B488" s="21">
        <v>42484</v>
      </c>
      <c r="C488" s="22" t="s">
        <v>15</v>
      </c>
      <c r="D488" s="22">
        <v>0</v>
      </c>
      <c r="E488" s="22">
        <v>8563</v>
      </c>
      <c r="F488" s="22">
        <v>5.6599998474121103</v>
      </c>
      <c r="G488" s="22">
        <v>0</v>
      </c>
      <c r="H488" s="22">
        <v>0</v>
      </c>
      <c r="I488" s="22">
        <v>395</v>
      </c>
      <c r="J488" s="23">
        <v>2173</v>
      </c>
    </row>
    <row r="489" spans="1:10" x14ac:dyDescent="0.3">
      <c r="A489" s="20">
        <v>4558609924</v>
      </c>
      <c r="B489" s="21">
        <v>42485</v>
      </c>
      <c r="C489" s="22" t="s">
        <v>16</v>
      </c>
      <c r="D489" s="22">
        <v>1</v>
      </c>
      <c r="E489" s="22">
        <v>8095</v>
      </c>
      <c r="F489" s="22">
        <v>5.3499999046325701</v>
      </c>
      <c r="G489" s="22">
        <v>18</v>
      </c>
      <c r="H489" s="22">
        <v>10</v>
      </c>
      <c r="I489" s="22">
        <v>340</v>
      </c>
      <c r="J489" s="23">
        <v>2225</v>
      </c>
    </row>
    <row r="490" spans="1:10" x14ac:dyDescent="0.3">
      <c r="A490" s="20">
        <v>4558609924</v>
      </c>
      <c r="B490" s="21">
        <v>42486</v>
      </c>
      <c r="C490" s="22" t="s">
        <v>10</v>
      </c>
      <c r="D490" s="22">
        <v>2</v>
      </c>
      <c r="E490" s="22">
        <v>9148</v>
      </c>
      <c r="F490" s="22">
        <v>6.0500001907348597</v>
      </c>
      <c r="G490" s="22">
        <v>12</v>
      </c>
      <c r="H490" s="22">
        <v>41</v>
      </c>
      <c r="I490" s="22">
        <v>283</v>
      </c>
      <c r="J490" s="23">
        <v>2223</v>
      </c>
    </row>
    <row r="491" spans="1:10" x14ac:dyDescent="0.3">
      <c r="A491" s="20">
        <v>4558609924</v>
      </c>
      <c r="B491" s="21">
        <v>42487</v>
      </c>
      <c r="C491" s="22" t="s">
        <v>11</v>
      </c>
      <c r="D491" s="22">
        <v>3</v>
      </c>
      <c r="E491" s="22">
        <v>9557</v>
      </c>
      <c r="F491" s="22">
        <v>6.3200001716613796</v>
      </c>
      <c r="G491" s="22">
        <v>27</v>
      </c>
      <c r="H491" s="22">
        <v>14</v>
      </c>
      <c r="I491" s="22">
        <v>312</v>
      </c>
      <c r="J491" s="23">
        <v>2098</v>
      </c>
    </row>
    <row r="492" spans="1:10" x14ac:dyDescent="0.3">
      <c r="A492" s="20">
        <v>4558609924</v>
      </c>
      <c r="B492" s="21">
        <v>42488</v>
      </c>
      <c r="C492" s="22" t="s">
        <v>12</v>
      </c>
      <c r="D492" s="22">
        <v>4</v>
      </c>
      <c r="E492" s="22">
        <v>9451</v>
      </c>
      <c r="F492" s="22">
        <v>6.25</v>
      </c>
      <c r="G492" s="22">
        <v>1</v>
      </c>
      <c r="H492" s="22">
        <v>11</v>
      </c>
      <c r="I492" s="22">
        <v>367</v>
      </c>
      <c r="J492" s="23">
        <v>2185</v>
      </c>
    </row>
    <row r="493" spans="1:10" x14ac:dyDescent="0.3">
      <c r="A493" s="20">
        <v>4558609924</v>
      </c>
      <c r="B493" s="21">
        <v>42489</v>
      </c>
      <c r="C493" s="22" t="s">
        <v>13</v>
      </c>
      <c r="D493" s="22">
        <v>5</v>
      </c>
      <c r="E493" s="22">
        <v>7833</v>
      </c>
      <c r="F493" s="22">
        <v>5.1799998283386204</v>
      </c>
      <c r="G493" s="22">
        <v>15</v>
      </c>
      <c r="H493" s="22">
        <v>29</v>
      </c>
      <c r="I493" s="22">
        <v>197</v>
      </c>
      <c r="J493" s="23">
        <v>1918</v>
      </c>
    </row>
    <row r="494" spans="1:10" x14ac:dyDescent="0.3">
      <c r="A494" s="20">
        <v>4558609924</v>
      </c>
      <c r="B494" s="21">
        <v>42490</v>
      </c>
      <c r="C494" s="22" t="s">
        <v>14</v>
      </c>
      <c r="D494" s="22">
        <v>6</v>
      </c>
      <c r="E494" s="22">
        <v>10319</v>
      </c>
      <c r="F494" s="22">
        <v>6.8200001716613796</v>
      </c>
      <c r="G494" s="22">
        <v>7</v>
      </c>
      <c r="H494" s="22">
        <v>29</v>
      </c>
      <c r="I494" s="22">
        <v>293</v>
      </c>
      <c r="J494" s="23">
        <v>2105</v>
      </c>
    </row>
    <row r="495" spans="1:10" x14ac:dyDescent="0.3">
      <c r="A495" s="20">
        <v>4558609924</v>
      </c>
      <c r="B495" s="21">
        <v>42491</v>
      </c>
      <c r="C495" s="22" t="s">
        <v>15</v>
      </c>
      <c r="D495" s="22">
        <v>0</v>
      </c>
      <c r="E495" s="22">
        <v>3428</v>
      </c>
      <c r="F495" s="22">
        <v>2.2699999809265101</v>
      </c>
      <c r="G495" s="22">
        <v>0</v>
      </c>
      <c r="H495" s="22">
        <v>0</v>
      </c>
      <c r="I495" s="22">
        <v>190</v>
      </c>
      <c r="J495" s="23">
        <v>1692</v>
      </c>
    </row>
    <row r="496" spans="1:10" x14ac:dyDescent="0.3">
      <c r="A496" s="20">
        <v>4558609924</v>
      </c>
      <c r="B496" s="21">
        <v>42492</v>
      </c>
      <c r="C496" s="22" t="s">
        <v>16</v>
      </c>
      <c r="D496" s="22">
        <v>1</v>
      </c>
      <c r="E496" s="22">
        <v>7891</v>
      </c>
      <c r="F496" s="22">
        <v>5.2199997901916504</v>
      </c>
      <c r="G496" s="22">
        <v>0</v>
      </c>
      <c r="H496" s="22">
        <v>0</v>
      </c>
      <c r="I496" s="22">
        <v>383</v>
      </c>
      <c r="J496" s="23">
        <v>2066</v>
      </c>
    </row>
    <row r="497" spans="1:10" x14ac:dyDescent="0.3">
      <c r="A497" s="20">
        <v>4558609924</v>
      </c>
      <c r="B497" s="21">
        <v>42493</v>
      </c>
      <c r="C497" s="22" t="s">
        <v>10</v>
      </c>
      <c r="D497" s="22">
        <v>2</v>
      </c>
      <c r="E497" s="22">
        <v>5267</v>
      </c>
      <c r="F497" s="22">
        <v>3.4800000190734899</v>
      </c>
      <c r="G497" s="22">
        <v>21</v>
      </c>
      <c r="H497" s="22">
        <v>10</v>
      </c>
      <c r="I497" s="22">
        <v>237</v>
      </c>
      <c r="J497" s="23">
        <v>1953</v>
      </c>
    </row>
    <row r="498" spans="1:10" x14ac:dyDescent="0.3">
      <c r="A498" s="20">
        <v>4558609924</v>
      </c>
      <c r="B498" s="21">
        <v>42494</v>
      </c>
      <c r="C498" s="22" t="s">
        <v>11</v>
      </c>
      <c r="D498" s="22">
        <v>3</v>
      </c>
      <c r="E498" s="22">
        <v>5232</v>
      </c>
      <c r="F498" s="22">
        <v>3.46000003814697</v>
      </c>
      <c r="G498" s="22">
        <v>0</v>
      </c>
      <c r="H498" s="22">
        <v>0</v>
      </c>
      <c r="I498" s="22">
        <v>252</v>
      </c>
      <c r="J498" s="23">
        <v>1842</v>
      </c>
    </row>
    <row r="499" spans="1:10" x14ac:dyDescent="0.3">
      <c r="A499" s="20">
        <v>4558609924</v>
      </c>
      <c r="B499" s="21">
        <v>42495</v>
      </c>
      <c r="C499" s="22" t="s">
        <v>12</v>
      </c>
      <c r="D499" s="22">
        <v>4</v>
      </c>
      <c r="E499" s="22">
        <v>10611</v>
      </c>
      <c r="F499" s="22">
        <v>7.0100002288818404</v>
      </c>
      <c r="G499" s="22">
        <v>14</v>
      </c>
      <c r="H499" s="22">
        <v>8</v>
      </c>
      <c r="I499" s="22">
        <v>370</v>
      </c>
      <c r="J499" s="23">
        <v>2262</v>
      </c>
    </row>
    <row r="500" spans="1:10" x14ac:dyDescent="0.3">
      <c r="A500" s="20">
        <v>4558609924</v>
      </c>
      <c r="B500" s="21">
        <v>42496</v>
      </c>
      <c r="C500" s="22" t="s">
        <v>13</v>
      </c>
      <c r="D500" s="22">
        <v>5</v>
      </c>
      <c r="E500" s="22">
        <v>3755</v>
      </c>
      <c r="F500" s="22">
        <v>2.4800000190734899</v>
      </c>
      <c r="G500" s="22">
        <v>0</v>
      </c>
      <c r="H500" s="22">
        <v>0</v>
      </c>
      <c r="I500" s="22">
        <v>202</v>
      </c>
      <c r="J500" s="23">
        <v>1722</v>
      </c>
    </row>
    <row r="501" spans="1:10" x14ac:dyDescent="0.3">
      <c r="A501" s="20">
        <v>4558609924</v>
      </c>
      <c r="B501" s="21">
        <v>42497</v>
      </c>
      <c r="C501" s="22" t="s">
        <v>14</v>
      </c>
      <c r="D501" s="22">
        <v>6</v>
      </c>
      <c r="E501" s="22">
        <v>8237</v>
      </c>
      <c r="F501" s="22">
        <v>5.4400000572204599</v>
      </c>
      <c r="G501" s="22">
        <v>23</v>
      </c>
      <c r="H501" s="22">
        <v>16</v>
      </c>
      <c r="I501" s="22">
        <v>233</v>
      </c>
      <c r="J501" s="23">
        <v>1973</v>
      </c>
    </row>
    <row r="502" spans="1:10" x14ac:dyDescent="0.3">
      <c r="A502" s="20">
        <v>4558609924</v>
      </c>
      <c r="B502" s="21">
        <v>42498</v>
      </c>
      <c r="C502" s="22" t="s">
        <v>15</v>
      </c>
      <c r="D502" s="22">
        <v>0</v>
      </c>
      <c r="E502" s="22">
        <v>6543</v>
      </c>
      <c r="F502" s="22">
        <v>4.3299999237060502</v>
      </c>
      <c r="G502" s="22">
        <v>66</v>
      </c>
      <c r="H502" s="22">
        <v>35</v>
      </c>
      <c r="I502" s="22">
        <v>238</v>
      </c>
      <c r="J502" s="23">
        <v>2666</v>
      </c>
    </row>
    <row r="503" spans="1:10" x14ac:dyDescent="0.3">
      <c r="A503" s="20">
        <v>4558609924</v>
      </c>
      <c r="B503" s="21">
        <v>42499</v>
      </c>
      <c r="C503" s="22" t="s">
        <v>16</v>
      </c>
      <c r="D503" s="22">
        <v>1</v>
      </c>
      <c r="E503" s="22">
        <v>11451</v>
      </c>
      <c r="F503" s="22">
        <v>7.5700001716613796</v>
      </c>
      <c r="G503" s="22">
        <v>6</v>
      </c>
      <c r="H503" s="22">
        <v>30</v>
      </c>
      <c r="I503" s="22">
        <v>339</v>
      </c>
      <c r="J503" s="23">
        <v>2223</v>
      </c>
    </row>
    <row r="504" spans="1:10" x14ac:dyDescent="0.3">
      <c r="A504" s="20">
        <v>4558609924</v>
      </c>
      <c r="B504" s="21">
        <v>42500</v>
      </c>
      <c r="C504" s="22" t="s">
        <v>10</v>
      </c>
      <c r="D504" s="22">
        <v>2</v>
      </c>
      <c r="E504" s="22">
        <v>6435</v>
      </c>
      <c r="F504" s="22">
        <v>4.25</v>
      </c>
      <c r="G504" s="22">
        <v>11</v>
      </c>
      <c r="H504" s="22">
        <v>18</v>
      </c>
      <c r="I504" s="22">
        <v>220</v>
      </c>
      <c r="J504" s="23">
        <v>1889</v>
      </c>
    </row>
    <row r="505" spans="1:10" x14ac:dyDescent="0.3">
      <c r="A505" s="20">
        <v>4558609924</v>
      </c>
      <c r="B505" s="21">
        <v>42501</v>
      </c>
      <c r="C505" s="22" t="s">
        <v>11</v>
      </c>
      <c r="D505" s="22">
        <v>3</v>
      </c>
      <c r="E505" s="22">
        <v>9108</v>
      </c>
      <c r="F505" s="22">
        <v>6.0199999809265101</v>
      </c>
      <c r="G505" s="22">
        <v>4</v>
      </c>
      <c r="H505" s="22">
        <v>31</v>
      </c>
      <c r="I505" s="22">
        <v>324</v>
      </c>
      <c r="J505" s="23">
        <v>2131</v>
      </c>
    </row>
    <row r="506" spans="1:10" x14ac:dyDescent="0.3">
      <c r="A506" s="20">
        <v>4558609924</v>
      </c>
      <c r="B506" s="21">
        <v>42502</v>
      </c>
      <c r="C506" s="22" t="s">
        <v>12</v>
      </c>
      <c r="D506" s="22">
        <v>4</v>
      </c>
      <c r="E506" s="22">
        <v>6307</v>
      </c>
      <c r="F506" s="22">
        <v>4.1700000762939498</v>
      </c>
      <c r="G506" s="22">
        <v>0</v>
      </c>
      <c r="H506" s="22">
        <v>0</v>
      </c>
      <c r="I506" s="22">
        <v>247</v>
      </c>
      <c r="J506" s="23">
        <v>1452</v>
      </c>
    </row>
    <row r="507" spans="1:10" x14ac:dyDescent="0.3">
      <c r="A507" s="20">
        <v>4702921684</v>
      </c>
      <c r="B507" s="21">
        <v>42472</v>
      </c>
      <c r="C507" s="22" t="s">
        <v>10</v>
      </c>
      <c r="D507" s="22">
        <v>2</v>
      </c>
      <c r="E507" s="22">
        <v>7213</v>
      </c>
      <c r="F507" s="22">
        <v>5.8800001144409197</v>
      </c>
      <c r="G507" s="22">
        <v>0</v>
      </c>
      <c r="H507" s="22">
        <v>0</v>
      </c>
      <c r="I507" s="22">
        <v>263</v>
      </c>
      <c r="J507" s="23">
        <v>2947</v>
      </c>
    </row>
    <row r="508" spans="1:10" x14ac:dyDescent="0.3">
      <c r="A508" s="20">
        <v>4702921684</v>
      </c>
      <c r="B508" s="21">
        <v>42473</v>
      </c>
      <c r="C508" s="22" t="s">
        <v>11</v>
      </c>
      <c r="D508" s="22">
        <v>3</v>
      </c>
      <c r="E508" s="22">
        <v>6877</v>
      </c>
      <c r="F508" s="22">
        <v>5.5799999237060502</v>
      </c>
      <c r="G508" s="22">
        <v>0</v>
      </c>
      <c r="H508" s="22">
        <v>0</v>
      </c>
      <c r="I508" s="22">
        <v>258</v>
      </c>
      <c r="J508" s="23">
        <v>2898</v>
      </c>
    </row>
    <row r="509" spans="1:10" x14ac:dyDescent="0.3">
      <c r="A509" s="20">
        <v>4702921684</v>
      </c>
      <c r="B509" s="21">
        <v>42474</v>
      </c>
      <c r="C509" s="22" t="s">
        <v>12</v>
      </c>
      <c r="D509" s="22">
        <v>4</v>
      </c>
      <c r="E509" s="22">
        <v>7860</v>
      </c>
      <c r="F509" s="22">
        <v>6.3699998855590803</v>
      </c>
      <c r="G509" s="22">
        <v>0</v>
      </c>
      <c r="H509" s="22">
        <v>0</v>
      </c>
      <c r="I509" s="22">
        <v>271</v>
      </c>
      <c r="J509" s="23">
        <v>2984</v>
      </c>
    </row>
    <row r="510" spans="1:10" x14ac:dyDescent="0.3">
      <c r="A510" s="20">
        <v>4702921684</v>
      </c>
      <c r="B510" s="21">
        <v>42475</v>
      </c>
      <c r="C510" s="22" t="s">
        <v>13</v>
      </c>
      <c r="D510" s="22">
        <v>5</v>
      </c>
      <c r="E510" s="22">
        <v>6506</v>
      </c>
      <c r="F510" s="22">
        <v>5.2800002098083496</v>
      </c>
      <c r="G510" s="22">
        <v>1</v>
      </c>
      <c r="H510" s="22">
        <v>8</v>
      </c>
      <c r="I510" s="22">
        <v>256</v>
      </c>
      <c r="J510" s="23">
        <v>2896</v>
      </c>
    </row>
    <row r="511" spans="1:10" x14ac:dyDescent="0.3">
      <c r="A511" s="20">
        <v>4702921684</v>
      </c>
      <c r="B511" s="21">
        <v>42476</v>
      </c>
      <c r="C511" s="22" t="s">
        <v>14</v>
      </c>
      <c r="D511" s="22">
        <v>6</v>
      </c>
      <c r="E511" s="22">
        <v>11140</v>
      </c>
      <c r="F511" s="22">
        <v>9.0299997329711896</v>
      </c>
      <c r="G511" s="22">
        <v>3</v>
      </c>
      <c r="H511" s="22">
        <v>24</v>
      </c>
      <c r="I511" s="22">
        <v>335</v>
      </c>
      <c r="J511" s="23">
        <v>3328</v>
      </c>
    </row>
    <row r="512" spans="1:10" x14ac:dyDescent="0.3">
      <c r="A512" s="20">
        <v>4702921684</v>
      </c>
      <c r="B512" s="21">
        <v>42477</v>
      </c>
      <c r="C512" s="22" t="s">
        <v>15</v>
      </c>
      <c r="D512" s="22">
        <v>0</v>
      </c>
      <c r="E512" s="22">
        <v>12692</v>
      </c>
      <c r="F512" s="22">
        <v>10.289999961853001</v>
      </c>
      <c r="G512" s="22">
        <v>12</v>
      </c>
      <c r="H512" s="22">
        <v>66</v>
      </c>
      <c r="I512" s="22">
        <v>302</v>
      </c>
      <c r="J512" s="23">
        <v>3394</v>
      </c>
    </row>
    <row r="513" spans="1:10" x14ac:dyDescent="0.3">
      <c r="A513" s="20">
        <v>4702921684</v>
      </c>
      <c r="B513" s="21">
        <v>42478</v>
      </c>
      <c r="C513" s="22" t="s">
        <v>16</v>
      </c>
      <c r="D513" s="22">
        <v>1</v>
      </c>
      <c r="E513" s="22">
        <v>9105</v>
      </c>
      <c r="F513" s="22">
        <v>7.3800001144409197</v>
      </c>
      <c r="G513" s="22">
        <v>22</v>
      </c>
      <c r="H513" s="22">
        <v>30</v>
      </c>
      <c r="I513" s="22">
        <v>191</v>
      </c>
      <c r="J513" s="23">
        <v>3013</v>
      </c>
    </row>
    <row r="514" spans="1:10" x14ac:dyDescent="0.3">
      <c r="A514" s="20">
        <v>4702921684</v>
      </c>
      <c r="B514" s="21">
        <v>42479</v>
      </c>
      <c r="C514" s="22" t="s">
        <v>10</v>
      </c>
      <c r="D514" s="22">
        <v>2</v>
      </c>
      <c r="E514" s="22">
        <v>6708</v>
      </c>
      <c r="F514" s="22">
        <v>5.4400000572204599</v>
      </c>
      <c r="G514" s="22">
        <v>10</v>
      </c>
      <c r="H514" s="22">
        <v>8</v>
      </c>
      <c r="I514" s="22">
        <v>179</v>
      </c>
      <c r="J514" s="23">
        <v>2812</v>
      </c>
    </row>
    <row r="515" spans="1:10" x14ac:dyDescent="0.3">
      <c r="A515" s="20">
        <v>4702921684</v>
      </c>
      <c r="B515" s="21">
        <v>42480</v>
      </c>
      <c r="C515" s="22" t="s">
        <v>11</v>
      </c>
      <c r="D515" s="22">
        <v>3</v>
      </c>
      <c r="E515" s="22">
        <v>8793</v>
      </c>
      <c r="F515" s="22">
        <v>7.1300001144409197</v>
      </c>
      <c r="G515" s="22">
        <v>2</v>
      </c>
      <c r="H515" s="22">
        <v>29</v>
      </c>
      <c r="I515" s="22">
        <v>260</v>
      </c>
      <c r="J515" s="23">
        <v>3061</v>
      </c>
    </row>
    <row r="516" spans="1:10" x14ac:dyDescent="0.3">
      <c r="A516" s="20">
        <v>4702921684</v>
      </c>
      <c r="B516" s="21">
        <v>42481</v>
      </c>
      <c r="C516" s="22" t="s">
        <v>12</v>
      </c>
      <c r="D516" s="22">
        <v>4</v>
      </c>
      <c r="E516" s="22">
        <v>6530</v>
      </c>
      <c r="F516" s="22">
        <v>5.3000001907348597</v>
      </c>
      <c r="G516" s="22">
        <v>4</v>
      </c>
      <c r="H516" s="22">
        <v>41</v>
      </c>
      <c r="I516" s="22">
        <v>144</v>
      </c>
      <c r="J516" s="23">
        <v>2729</v>
      </c>
    </row>
    <row r="517" spans="1:10" x14ac:dyDescent="0.3">
      <c r="A517" s="20">
        <v>4702921684</v>
      </c>
      <c r="B517" s="21">
        <v>42482</v>
      </c>
      <c r="C517" s="22" t="s">
        <v>13</v>
      </c>
      <c r="D517" s="22">
        <v>5</v>
      </c>
      <c r="E517" s="22">
        <v>1664</v>
      </c>
      <c r="F517" s="22">
        <v>1.3500000238418599</v>
      </c>
      <c r="G517" s="22">
        <v>0</v>
      </c>
      <c r="H517" s="22">
        <v>0</v>
      </c>
      <c r="I517" s="22">
        <v>72</v>
      </c>
      <c r="J517" s="23">
        <v>2241</v>
      </c>
    </row>
    <row r="518" spans="1:10" x14ac:dyDescent="0.3">
      <c r="A518" s="20">
        <v>4702921684</v>
      </c>
      <c r="B518" s="21">
        <v>42483</v>
      </c>
      <c r="C518" s="22" t="s">
        <v>14</v>
      </c>
      <c r="D518" s="22">
        <v>6</v>
      </c>
      <c r="E518" s="22">
        <v>15126</v>
      </c>
      <c r="F518" s="22">
        <v>12.2700004577637</v>
      </c>
      <c r="G518" s="22">
        <v>9</v>
      </c>
      <c r="H518" s="22">
        <v>66</v>
      </c>
      <c r="I518" s="22">
        <v>408</v>
      </c>
      <c r="J518" s="23">
        <v>3691</v>
      </c>
    </row>
    <row r="519" spans="1:10" x14ac:dyDescent="0.3">
      <c r="A519" s="20">
        <v>4702921684</v>
      </c>
      <c r="B519" s="21">
        <v>42484</v>
      </c>
      <c r="C519" s="22" t="s">
        <v>15</v>
      </c>
      <c r="D519" s="22">
        <v>0</v>
      </c>
      <c r="E519" s="22">
        <v>15050</v>
      </c>
      <c r="F519" s="22">
        <v>12.2200002670288</v>
      </c>
      <c r="G519" s="22">
        <v>15</v>
      </c>
      <c r="H519" s="22">
        <v>95</v>
      </c>
      <c r="I519" s="22">
        <v>281</v>
      </c>
      <c r="J519" s="23">
        <v>3538</v>
      </c>
    </row>
    <row r="520" spans="1:10" x14ac:dyDescent="0.3">
      <c r="A520" s="20">
        <v>4702921684</v>
      </c>
      <c r="B520" s="21">
        <v>42485</v>
      </c>
      <c r="C520" s="22" t="s">
        <v>16</v>
      </c>
      <c r="D520" s="22">
        <v>1</v>
      </c>
      <c r="E520" s="22">
        <v>9167</v>
      </c>
      <c r="F520" s="22">
        <v>7.4299998283386204</v>
      </c>
      <c r="G520" s="22">
        <v>6</v>
      </c>
      <c r="H520" s="22">
        <v>15</v>
      </c>
      <c r="I520" s="22">
        <v>270</v>
      </c>
      <c r="J520" s="23">
        <v>3064</v>
      </c>
    </row>
    <row r="521" spans="1:10" x14ac:dyDescent="0.3">
      <c r="A521" s="20">
        <v>4702921684</v>
      </c>
      <c r="B521" s="21">
        <v>42486</v>
      </c>
      <c r="C521" s="22" t="s">
        <v>10</v>
      </c>
      <c r="D521" s="22">
        <v>2</v>
      </c>
      <c r="E521" s="22">
        <v>6108</v>
      </c>
      <c r="F521" s="22">
        <v>4.9499998092651403</v>
      </c>
      <c r="G521" s="22">
        <v>1</v>
      </c>
      <c r="H521" s="22">
        <v>8</v>
      </c>
      <c r="I521" s="22">
        <v>216</v>
      </c>
      <c r="J521" s="23">
        <v>2784</v>
      </c>
    </row>
    <row r="522" spans="1:10" x14ac:dyDescent="0.3">
      <c r="A522" s="20">
        <v>4702921684</v>
      </c>
      <c r="B522" s="21">
        <v>42487</v>
      </c>
      <c r="C522" s="22" t="s">
        <v>11</v>
      </c>
      <c r="D522" s="22">
        <v>3</v>
      </c>
      <c r="E522" s="22">
        <v>7047</v>
      </c>
      <c r="F522" s="22">
        <v>5.7199997901916504</v>
      </c>
      <c r="G522" s="22">
        <v>1</v>
      </c>
      <c r="H522" s="22">
        <v>16</v>
      </c>
      <c r="I522" s="22">
        <v>238</v>
      </c>
      <c r="J522" s="23">
        <v>2908</v>
      </c>
    </row>
    <row r="523" spans="1:10" x14ac:dyDescent="0.3">
      <c r="A523" s="20">
        <v>4702921684</v>
      </c>
      <c r="B523" s="21">
        <v>42488</v>
      </c>
      <c r="C523" s="22" t="s">
        <v>12</v>
      </c>
      <c r="D523" s="22">
        <v>4</v>
      </c>
      <c r="E523" s="22">
        <v>9023</v>
      </c>
      <c r="F523" s="22">
        <v>7.3200001716613796</v>
      </c>
      <c r="G523" s="22">
        <v>14</v>
      </c>
      <c r="H523" s="22">
        <v>9</v>
      </c>
      <c r="I523" s="22">
        <v>232</v>
      </c>
      <c r="J523" s="23">
        <v>3033</v>
      </c>
    </row>
    <row r="524" spans="1:10" x14ac:dyDescent="0.3">
      <c r="A524" s="20">
        <v>4702921684</v>
      </c>
      <c r="B524" s="21">
        <v>42489</v>
      </c>
      <c r="C524" s="22" t="s">
        <v>13</v>
      </c>
      <c r="D524" s="22">
        <v>5</v>
      </c>
      <c r="E524" s="22">
        <v>9930</v>
      </c>
      <c r="F524" s="22">
        <v>8.0500001907348597</v>
      </c>
      <c r="G524" s="22">
        <v>12</v>
      </c>
      <c r="H524" s="22">
        <v>19</v>
      </c>
      <c r="I524" s="22">
        <v>267</v>
      </c>
      <c r="J524" s="23">
        <v>3165</v>
      </c>
    </row>
    <row r="525" spans="1:10" x14ac:dyDescent="0.3">
      <c r="A525" s="20">
        <v>4702921684</v>
      </c>
      <c r="B525" s="21">
        <v>42490</v>
      </c>
      <c r="C525" s="22" t="s">
        <v>14</v>
      </c>
      <c r="D525" s="22">
        <v>6</v>
      </c>
      <c r="E525" s="22">
        <v>10144</v>
      </c>
      <c r="F525" s="22">
        <v>8.2299995422363299</v>
      </c>
      <c r="G525" s="22">
        <v>4</v>
      </c>
      <c r="H525" s="22">
        <v>36</v>
      </c>
      <c r="I525" s="22">
        <v>263</v>
      </c>
      <c r="J525" s="23">
        <v>3115</v>
      </c>
    </row>
    <row r="526" spans="1:10" x14ac:dyDescent="0.3">
      <c r="A526" s="20">
        <v>4702921684</v>
      </c>
      <c r="B526" s="21">
        <v>42491</v>
      </c>
      <c r="C526" s="22" t="s">
        <v>15</v>
      </c>
      <c r="D526" s="22">
        <v>0</v>
      </c>
      <c r="E526" s="22">
        <v>0</v>
      </c>
      <c r="F526" s="22">
        <v>0</v>
      </c>
      <c r="G526" s="22">
        <v>0</v>
      </c>
      <c r="H526" s="22">
        <v>0</v>
      </c>
      <c r="I526" s="22">
        <v>0</v>
      </c>
      <c r="J526" s="23">
        <v>2017</v>
      </c>
    </row>
    <row r="527" spans="1:10" x14ac:dyDescent="0.3">
      <c r="A527" s="20">
        <v>4702921684</v>
      </c>
      <c r="B527" s="21">
        <v>42492</v>
      </c>
      <c r="C527" s="22" t="s">
        <v>16</v>
      </c>
      <c r="D527" s="22">
        <v>1</v>
      </c>
      <c r="E527" s="22">
        <v>7245</v>
      </c>
      <c r="F527" s="22">
        <v>5.9200000762939498</v>
      </c>
      <c r="G527" s="22">
        <v>5</v>
      </c>
      <c r="H527" s="22">
        <v>40</v>
      </c>
      <c r="I527" s="22">
        <v>195</v>
      </c>
      <c r="J527" s="23">
        <v>2859</v>
      </c>
    </row>
    <row r="528" spans="1:10" x14ac:dyDescent="0.3">
      <c r="A528" s="20">
        <v>4702921684</v>
      </c>
      <c r="B528" s="21">
        <v>42493</v>
      </c>
      <c r="C528" s="22" t="s">
        <v>10</v>
      </c>
      <c r="D528" s="22">
        <v>2</v>
      </c>
      <c r="E528" s="22">
        <v>9454</v>
      </c>
      <c r="F528" s="22">
        <v>7.6700000762939498</v>
      </c>
      <c r="G528" s="22">
        <v>0</v>
      </c>
      <c r="H528" s="22">
        <v>0</v>
      </c>
      <c r="I528" s="22">
        <v>313</v>
      </c>
      <c r="J528" s="23">
        <v>3145</v>
      </c>
    </row>
    <row r="529" spans="1:10" x14ac:dyDescent="0.3">
      <c r="A529" s="20">
        <v>4702921684</v>
      </c>
      <c r="B529" s="21">
        <v>42494</v>
      </c>
      <c r="C529" s="22" t="s">
        <v>11</v>
      </c>
      <c r="D529" s="22">
        <v>3</v>
      </c>
      <c r="E529" s="22">
        <v>8161</v>
      </c>
      <c r="F529" s="22">
        <v>6.6199998855590803</v>
      </c>
      <c r="G529" s="22">
        <v>4</v>
      </c>
      <c r="H529" s="22">
        <v>15</v>
      </c>
      <c r="I529" s="22">
        <v>251</v>
      </c>
      <c r="J529" s="23">
        <v>3004</v>
      </c>
    </row>
    <row r="530" spans="1:10" x14ac:dyDescent="0.3">
      <c r="A530" s="20">
        <v>4702921684</v>
      </c>
      <c r="B530" s="21">
        <v>42495</v>
      </c>
      <c r="C530" s="22" t="s">
        <v>12</v>
      </c>
      <c r="D530" s="22">
        <v>4</v>
      </c>
      <c r="E530" s="22">
        <v>8614</v>
      </c>
      <c r="F530" s="22">
        <v>6.9899997711181596</v>
      </c>
      <c r="G530" s="22">
        <v>8</v>
      </c>
      <c r="H530" s="22">
        <v>5</v>
      </c>
      <c r="I530" s="22">
        <v>241</v>
      </c>
      <c r="J530" s="23">
        <v>3006</v>
      </c>
    </row>
    <row r="531" spans="1:10" x14ac:dyDescent="0.3">
      <c r="A531" s="20">
        <v>4702921684</v>
      </c>
      <c r="B531" s="21">
        <v>42496</v>
      </c>
      <c r="C531" s="22" t="s">
        <v>13</v>
      </c>
      <c r="D531" s="22">
        <v>5</v>
      </c>
      <c r="E531" s="22">
        <v>6943</v>
      </c>
      <c r="F531" s="22">
        <v>5.6300001144409197</v>
      </c>
      <c r="G531" s="22">
        <v>1</v>
      </c>
      <c r="H531" s="22">
        <v>16</v>
      </c>
      <c r="I531" s="22">
        <v>207</v>
      </c>
      <c r="J531" s="23">
        <v>2859</v>
      </c>
    </row>
    <row r="532" spans="1:10" x14ac:dyDescent="0.3">
      <c r="A532" s="20">
        <v>4702921684</v>
      </c>
      <c r="B532" s="21">
        <v>42497</v>
      </c>
      <c r="C532" s="22" t="s">
        <v>14</v>
      </c>
      <c r="D532" s="22">
        <v>6</v>
      </c>
      <c r="E532" s="22">
        <v>14370</v>
      </c>
      <c r="F532" s="22">
        <v>11.6499996185303</v>
      </c>
      <c r="G532" s="22">
        <v>5</v>
      </c>
      <c r="H532" s="22">
        <v>46</v>
      </c>
      <c r="I532" s="22">
        <v>439</v>
      </c>
      <c r="J532" s="23">
        <v>3683</v>
      </c>
    </row>
    <row r="533" spans="1:10" x14ac:dyDescent="0.3">
      <c r="A533" s="20">
        <v>4702921684</v>
      </c>
      <c r="B533" s="21">
        <v>42498</v>
      </c>
      <c r="C533" s="22" t="s">
        <v>15</v>
      </c>
      <c r="D533" s="22">
        <v>0</v>
      </c>
      <c r="E533" s="22">
        <v>12857</v>
      </c>
      <c r="F533" s="22">
        <v>10.430000305175801</v>
      </c>
      <c r="G533" s="22">
        <v>9</v>
      </c>
      <c r="H533" s="22">
        <v>125</v>
      </c>
      <c r="I533" s="22">
        <v>192</v>
      </c>
      <c r="J533" s="23">
        <v>3287</v>
      </c>
    </row>
    <row r="534" spans="1:10" x14ac:dyDescent="0.3">
      <c r="A534" s="20">
        <v>4702921684</v>
      </c>
      <c r="B534" s="21">
        <v>42499</v>
      </c>
      <c r="C534" s="22" t="s">
        <v>16</v>
      </c>
      <c r="D534" s="22">
        <v>1</v>
      </c>
      <c r="E534" s="22">
        <v>8232</v>
      </c>
      <c r="F534" s="22">
        <v>6.6799998283386204</v>
      </c>
      <c r="G534" s="22">
        <v>0</v>
      </c>
      <c r="H534" s="22">
        <v>12</v>
      </c>
      <c r="I534" s="22">
        <v>253</v>
      </c>
      <c r="J534" s="23">
        <v>2990</v>
      </c>
    </row>
    <row r="535" spans="1:10" x14ac:dyDescent="0.3">
      <c r="A535" s="20">
        <v>4702921684</v>
      </c>
      <c r="B535" s="21">
        <v>42500</v>
      </c>
      <c r="C535" s="22" t="s">
        <v>10</v>
      </c>
      <c r="D535" s="22">
        <v>2</v>
      </c>
      <c r="E535" s="22">
        <v>10613</v>
      </c>
      <c r="F535" s="22">
        <v>8.6099996566772496</v>
      </c>
      <c r="G535" s="22">
        <v>1</v>
      </c>
      <c r="H535" s="22">
        <v>37</v>
      </c>
      <c r="I535" s="22">
        <v>262</v>
      </c>
      <c r="J535" s="23">
        <v>3172</v>
      </c>
    </row>
    <row r="536" spans="1:10" x14ac:dyDescent="0.3">
      <c r="A536" s="20">
        <v>4702921684</v>
      </c>
      <c r="B536" s="21">
        <v>42501</v>
      </c>
      <c r="C536" s="22" t="s">
        <v>11</v>
      </c>
      <c r="D536" s="22">
        <v>3</v>
      </c>
      <c r="E536" s="22">
        <v>9810</v>
      </c>
      <c r="F536" s="22">
        <v>7.96000003814697</v>
      </c>
      <c r="G536" s="22">
        <v>10</v>
      </c>
      <c r="H536" s="22">
        <v>41</v>
      </c>
      <c r="I536" s="22">
        <v>235</v>
      </c>
      <c r="J536" s="23">
        <v>3069</v>
      </c>
    </row>
    <row r="537" spans="1:10" x14ac:dyDescent="0.3">
      <c r="A537" s="20">
        <v>4702921684</v>
      </c>
      <c r="B537" s="21">
        <v>42502</v>
      </c>
      <c r="C537" s="22" t="s">
        <v>12</v>
      </c>
      <c r="D537" s="22">
        <v>4</v>
      </c>
      <c r="E537" s="22">
        <v>2752</v>
      </c>
      <c r="F537" s="22">
        <v>2.2300000190734899</v>
      </c>
      <c r="G537" s="22">
        <v>0</v>
      </c>
      <c r="H537" s="22">
        <v>0</v>
      </c>
      <c r="I537" s="22">
        <v>68</v>
      </c>
      <c r="J537" s="23">
        <v>1240</v>
      </c>
    </row>
    <row r="538" spans="1:10" x14ac:dyDescent="0.3">
      <c r="A538" s="20">
        <v>5553957443</v>
      </c>
      <c r="B538" s="21">
        <v>42472</v>
      </c>
      <c r="C538" s="22" t="s">
        <v>10</v>
      </c>
      <c r="D538" s="22">
        <v>2</v>
      </c>
      <c r="E538" s="22">
        <v>11596</v>
      </c>
      <c r="F538" s="22">
        <v>7.5700001716613796</v>
      </c>
      <c r="G538" s="22">
        <v>19</v>
      </c>
      <c r="H538" s="22">
        <v>13</v>
      </c>
      <c r="I538" s="22">
        <v>277</v>
      </c>
      <c r="J538" s="23">
        <v>2026</v>
      </c>
    </row>
    <row r="539" spans="1:10" x14ac:dyDescent="0.3">
      <c r="A539" s="20">
        <v>5553957443</v>
      </c>
      <c r="B539" s="21">
        <v>42473</v>
      </c>
      <c r="C539" s="22" t="s">
        <v>11</v>
      </c>
      <c r="D539" s="22">
        <v>3</v>
      </c>
      <c r="E539" s="22">
        <v>4832</v>
      </c>
      <c r="F539" s="22">
        <v>3.1600000858306898</v>
      </c>
      <c r="G539" s="22">
        <v>0</v>
      </c>
      <c r="H539" s="22">
        <v>0</v>
      </c>
      <c r="I539" s="22">
        <v>226</v>
      </c>
      <c r="J539" s="23">
        <v>1718</v>
      </c>
    </row>
    <row r="540" spans="1:10" x14ac:dyDescent="0.3">
      <c r="A540" s="20">
        <v>5553957443</v>
      </c>
      <c r="B540" s="21">
        <v>42474</v>
      </c>
      <c r="C540" s="22" t="s">
        <v>12</v>
      </c>
      <c r="D540" s="22">
        <v>4</v>
      </c>
      <c r="E540" s="22">
        <v>17022</v>
      </c>
      <c r="F540" s="22">
        <v>11.1199998855591</v>
      </c>
      <c r="G540" s="22">
        <v>61</v>
      </c>
      <c r="H540" s="22">
        <v>41</v>
      </c>
      <c r="I540" s="22">
        <v>256</v>
      </c>
      <c r="J540" s="23">
        <v>2324</v>
      </c>
    </row>
    <row r="541" spans="1:10" x14ac:dyDescent="0.3">
      <c r="A541" s="20">
        <v>5553957443</v>
      </c>
      <c r="B541" s="21">
        <v>42475</v>
      </c>
      <c r="C541" s="22" t="s">
        <v>13</v>
      </c>
      <c r="D541" s="22">
        <v>5</v>
      </c>
      <c r="E541" s="22">
        <v>16556</v>
      </c>
      <c r="F541" s="22">
        <v>10.8599996566772</v>
      </c>
      <c r="G541" s="22">
        <v>58</v>
      </c>
      <c r="H541" s="22">
        <v>38</v>
      </c>
      <c r="I541" s="22">
        <v>239</v>
      </c>
      <c r="J541" s="23">
        <v>2254</v>
      </c>
    </row>
    <row r="542" spans="1:10" x14ac:dyDescent="0.3">
      <c r="A542" s="20">
        <v>5553957443</v>
      </c>
      <c r="B542" s="21">
        <v>42476</v>
      </c>
      <c r="C542" s="22" t="s">
        <v>14</v>
      </c>
      <c r="D542" s="22">
        <v>6</v>
      </c>
      <c r="E542" s="22">
        <v>5771</v>
      </c>
      <c r="F542" s="22">
        <v>3.7699999809265101</v>
      </c>
      <c r="G542" s="22">
        <v>0</v>
      </c>
      <c r="H542" s="22">
        <v>0</v>
      </c>
      <c r="I542" s="22">
        <v>288</v>
      </c>
      <c r="J542" s="23">
        <v>1831</v>
      </c>
    </row>
    <row r="543" spans="1:10" x14ac:dyDescent="0.3">
      <c r="A543" s="20">
        <v>5553957443</v>
      </c>
      <c r="B543" s="21">
        <v>42477</v>
      </c>
      <c r="C543" s="22" t="s">
        <v>15</v>
      </c>
      <c r="D543" s="22">
        <v>0</v>
      </c>
      <c r="E543" s="22">
        <v>655</v>
      </c>
      <c r="F543" s="22">
        <v>0.43000000715255698</v>
      </c>
      <c r="G543" s="22">
        <v>0</v>
      </c>
      <c r="H543" s="22">
        <v>0</v>
      </c>
      <c r="I543" s="22">
        <v>46</v>
      </c>
      <c r="J543" s="23">
        <v>1397</v>
      </c>
    </row>
    <row r="544" spans="1:10" x14ac:dyDescent="0.3">
      <c r="A544" s="20">
        <v>5553957443</v>
      </c>
      <c r="B544" s="21">
        <v>42478</v>
      </c>
      <c r="C544" s="22" t="s">
        <v>16</v>
      </c>
      <c r="D544" s="22">
        <v>1</v>
      </c>
      <c r="E544" s="22">
        <v>3727</v>
      </c>
      <c r="F544" s="22">
        <v>2.4300000667571999</v>
      </c>
      <c r="G544" s="22">
        <v>0</v>
      </c>
      <c r="H544" s="22">
        <v>0</v>
      </c>
      <c r="I544" s="22">
        <v>206</v>
      </c>
      <c r="J544" s="23">
        <v>1683</v>
      </c>
    </row>
    <row r="545" spans="1:10" x14ac:dyDescent="0.3">
      <c r="A545" s="20">
        <v>5553957443</v>
      </c>
      <c r="B545" s="21">
        <v>42479</v>
      </c>
      <c r="C545" s="22" t="s">
        <v>10</v>
      </c>
      <c r="D545" s="22">
        <v>2</v>
      </c>
      <c r="E545" s="22">
        <v>15482</v>
      </c>
      <c r="F545" s="22">
        <v>10.1099996566772</v>
      </c>
      <c r="G545" s="22">
        <v>69</v>
      </c>
      <c r="H545" s="22">
        <v>28</v>
      </c>
      <c r="I545" s="22">
        <v>249</v>
      </c>
      <c r="J545" s="23">
        <v>2284</v>
      </c>
    </row>
    <row r="546" spans="1:10" x14ac:dyDescent="0.3">
      <c r="A546" s="20">
        <v>5553957443</v>
      </c>
      <c r="B546" s="21">
        <v>42480</v>
      </c>
      <c r="C546" s="22" t="s">
        <v>11</v>
      </c>
      <c r="D546" s="22">
        <v>3</v>
      </c>
      <c r="E546" s="22">
        <v>2713</v>
      </c>
      <c r="F546" s="22">
        <v>1.7699999809265099</v>
      </c>
      <c r="G546" s="22">
        <v>0</v>
      </c>
      <c r="H546" s="22">
        <v>0</v>
      </c>
      <c r="I546" s="22">
        <v>148</v>
      </c>
      <c r="J546" s="23">
        <v>1570</v>
      </c>
    </row>
    <row r="547" spans="1:10" x14ac:dyDescent="0.3">
      <c r="A547" s="20">
        <v>5553957443</v>
      </c>
      <c r="B547" s="21">
        <v>42481</v>
      </c>
      <c r="C547" s="22" t="s">
        <v>12</v>
      </c>
      <c r="D547" s="22">
        <v>4</v>
      </c>
      <c r="E547" s="22">
        <v>12346</v>
      </c>
      <c r="F547" s="22">
        <v>8.0600004196166992</v>
      </c>
      <c r="G547" s="22">
        <v>47</v>
      </c>
      <c r="H547" s="22">
        <v>42</v>
      </c>
      <c r="I547" s="22">
        <v>177</v>
      </c>
      <c r="J547" s="23">
        <v>2066</v>
      </c>
    </row>
    <row r="548" spans="1:10" x14ac:dyDescent="0.3">
      <c r="A548" s="20">
        <v>5553957443</v>
      </c>
      <c r="B548" s="21">
        <v>42482</v>
      </c>
      <c r="C548" s="22" t="s">
        <v>13</v>
      </c>
      <c r="D548" s="22">
        <v>5</v>
      </c>
      <c r="E548" s="22">
        <v>11682</v>
      </c>
      <c r="F548" s="22">
        <v>7.6300001144409197</v>
      </c>
      <c r="G548" s="22">
        <v>25</v>
      </c>
      <c r="H548" s="22">
        <v>16</v>
      </c>
      <c r="I548" s="22">
        <v>270</v>
      </c>
      <c r="J548" s="23">
        <v>2105</v>
      </c>
    </row>
    <row r="549" spans="1:10" x14ac:dyDescent="0.3">
      <c r="A549" s="20">
        <v>5553957443</v>
      </c>
      <c r="B549" s="21">
        <v>42483</v>
      </c>
      <c r="C549" s="22" t="s">
        <v>14</v>
      </c>
      <c r="D549" s="22">
        <v>6</v>
      </c>
      <c r="E549" s="22">
        <v>4112</v>
      </c>
      <c r="F549" s="22">
        <v>2.6900000572204599</v>
      </c>
      <c r="G549" s="22">
        <v>0</v>
      </c>
      <c r="H549" s="22">
        <v>0</v>
      </c>
      <c r="I549" s="22">
        <v>272</v>
      </c>
      <c r="J549" s="23">
        <v>1776</v>
      </c>
    </row>
    <row r="550" spans="1:10" x14ac:dyDescent="0.3">
      <c r="A550" s="20">
        <v>5553957443</v>
      </c>
      <c r="B550" s="21">
        <v>42484</v>
      </c>
      <c r="C550" s="22" t="s">
        <v>15</v>
      </c>
      <c r="D550" s="22">
        <v>0</v>
      </c>
      <c r="E550" s="22">
        <v>1807</v>
      </c>
      <c r="F550" s="22">
        <v>1.1799999475479099</v>
      </c>
      <c r="G550" s="22">
        <v>0</v>
      </c>
      <c r="H550" s="22">
        <v>0</v>
      </c>
      <c r="I550" s="22">
        <v>104</v>
      </c>
      <c r="J550" s="23">
        <v>1507</v>
      </c>
    </row>
    <row r="551" spans="1:10" x14ac:dyDescent="0.3">
      <c r="A551" s="20">
        <v>5553957443</v>
      </c>
      <c r="B551" s="21">
        <v>42485</v>
      </c>
      <c r="C551" s="22" t="s">
        <v>16</v>
      </c>
      <c r="D551" s="22">
        <v>1</v>
      </c>
      <c r="E551" s="22">
        <v>10946</v>
      </c>
      <c r="F551" s="22">
        <v>7.1900000572204599</v>
      </c>
      <c r="G551" s="22">
        <v>51</v>
      </c>
      <c r="H551" s="22">
        <v>11</v>
      </c>
      <c r="I551" s="22">
        <v>201</v>
      </c>
      <c r="J551" s="23">
        <v>2033</v>
      </c>
    </row>
    <row r="552" spans="1:10" x14ac:dyDescent="0.3">
      <c r="A552" s="20">
        <v>5553957443</v>
      </c>
      <c r="B552" s="21">
        <v>42486</v>
      </c>
      <c r="C552" s="22" t="s">
        <v>10</v>
      </c>
      <c r="D552" s="22">
        <v>2</v>
      </c>
      <c r="E552" s="22">
        <v>11886</v>
      </c>
      <c r="F552" s="22">
        <v>7.7600002288818404</v>
      </c>
      <c r="G552" s="22">
        <v>40</v>
      </c>
      <c r="H552" s="22">
        <v>18</v>
      </c>
      <c r="I552" s="22">
        <v>238</v>
      </c>
      <c r="J552" s="23">
        <v>2093</v>
      </c>
    </row>
    <row r="553" spans="1:10" x14ac:dyDescent="0.3">
      <c r="A553" s="20">
        <v>5553957443</v>
      </c>
      <c r="B553" s="21">
        <v>42487</v>
      </c>
      <c r="C553" s="22" t="s">
        <v>11</v>
      </c>
      <c r="D553" s="22">
        <v>3</v>
      </c>
      <c r="E553" s="22">
        <v>10538</v>
      </c>
      <c r="F553" s="22">
        <v>6.8800001144409197</v>
      </c>
      <c r="G553" s="22">
        <v>16</v>
      </c>
      <c r="H553" s="22">
        <v>16</v>
      </c>
      <c r="I553" s="22">
        <v>206</v>
      </c>
      <c r="J553" s="23">
        <v>1922</v>
      </c>
    </row>
    <row r="554" spans="1:10" x14ac:dyDescent="0.3">
      <c r="A554" s="20">
        <v>5553957443</v>
      </c>
      <c r="B554" s="21">
        <v>42488</v>
      </c>
      <c r="C554" s="22" t="s">
        <v>12</v>
      </c>
      <c r="D554" s="22">
        <v>4</v>
      </c>
      <c r="E554" s="22">
        <v>11393</v>
      </c>
      <c r="F554" s="22">
        <v>7.6300001144409197</v>
      </c>
      <c r="G554" s="22">
        <v>49</v>
      </c>
      <c r="H554" s="22">
        <v>13</v>
      </c>
      <c r="I554" s="22">
        <v>165</v>
      </c>
      <c r="J554" s="23">
        <v>1999</v>
      </c>
    </row>
    <row r="555" spans="1:10" x14ac:dyDescent="0.3">
      <c r="A555" s="20">
        <v>5553957443</v>
      </c>
      <c r="B555" s="21">
        <v>42489</v>
      </c>
      <c r="C555" s="22" t="s">
        <v>13</v>
      </c>
      <c r="D555" s="22">
        <v>5</v>
      </c>
      <c r="E555" s="22">
        <v>12764</v>
      </c>
      <c r="F555" s="22">
        <v>8.3299999237060494</v>
      </c>
      <c r="G555" s="22">
        <v>46</v>
      </c>
      <c r="H555" s="22">
        <v>15</v>
      </c>
      <c r="I555" s="22">
        <v>270</v>
      </c>
      <c r="J555" s="23">
        <v>2169</v>
      </c>
    </row>
    <row r="556" spans="1:10" x14ac:dyDescent="0.3">
      <c r="A556" s="20">
        <v>5553957443</v>
      </c>
      <c r="B556" s="21">
        <v>42490</v>
      </c>
      <c r="C556" s="22" t="s">
        <v>14</v>
      </c>
      <c r="D556" s="22">
        <v>6</v>
      </c>
      <c r="E556" s="22">
        <v>1202</v>
      </c>
      <c r="F556" s="22">
        <v>0.77999997138977095</v>
      </c>
      <c r="G556" s="22">
        <v>0</v>
      </c>
      <c r="H556" s="22">
        <v>0</v>
      </c>
      <c r="I556" s="22">
        <v>84</v>
      </c>
      <c r="J556" s="23">
        <v>1463</v>
      </c>
    </row>
    <row r="557" spans="1:10" x14ac:dyDescent="0.3">
      <c r="A557" s="20">
        <v>5553957443</v>
      </c>
      <c r="B557" s="21">
        <v>42491</v>
      </c>
      <c r="C557" s="22" t="s">
        <v>15</v>
      </c>
      <c r="D557" s="22">
        <v>0</v>
      </c>
      <c r="E557" s="22">
        <v>5164</v>
      </c>
      <c r="F557" s="22">
        <v>3.3699998855590798</v>
      </c>
      <c r="G557" s="22">
        <v>0</v>
      </c>
      <c r="H557" s="22">
        <v>0</v>
      </c>
      <c r="I557" s="22">
        <v>237</v>
      </c>
      <c r="J557" s="23">
        <v>1747</v>
      </c>
    </row>
    <row r="558" spans="1:10" x14ac:dyDescent="0.3">
      <c r="A558" s="20">
        <v>5553957443</v>
      </c>
      <c r="B558" s="21">
        <v>42492</v>
      </c>
      <c r="C558" s="22" t="s">
        <v>16</v>
      </c>
      <c r="D558" s="22">
        <v>1</v>
      </c>
      <c r="E558" s="22">
        <v>9769</v>
      </c>
      <c r="F558" s="22">
        <v>6.3800001144409197</v>
      </c>
      <c r="G558" s="22">
        <v>23</v>
      </c>
      <c r="H558" s="22">
        <v>9</v>
      </c>
      <c r="I558" s="22">
        <v>227</v>
      </c>
      <c r="J558" s="23">
        <v>1996</v>
      </c>
    </row>
    <row r="559" spans="1:10" x14ac:dyDescent="0.3">
      <c r="A559" s="20">
        <v>5553957443</v>
      </c>
      <c r="B559" s="21">
        <v>42493</v>
      </c>
      <c r="C559" s="22" t="s">
        <v>10</v>
      </c>
      <c r="D559" s="22">
        <v>2</v>
      </c>
      <c r="E559" s="22">
        <v>12848</v>
      </c>
      <c r="F559" s="22">
        <v>8.3900003433227504</v>
      </c>
      <c r="G559" s="22">
        <v>26</v>
      </c>
      <c r="H559" s="22">
        <v>29</v>
      </c>
      <c r="I559" s="22">
        <v>247</v>
      </c>
      <c r="J559" s="23">
        <v>2116</v>
      </c>
    </row>
    <row r="560" spans="1:10" x14ac:dyDescent="0.3">
      <c r="A560" s="20">
        <v>5553957443</v>
      </c>
      <c r="B560" s="21">
        <v>42494</v>
      </c>
      <c r="C560" s="22" t="s">
        <v>11</v>
      </c>
      <c r="D560" s="22">
        <v>3</v>
      </c>
      <c r="E560" s="22">
        <v>4249</v>
      </c>
      <c r="F560" s="22">
        <v>2.7699999809265101</v>
      </c>
      <c r="G560" s="22">
        <v>0</v>
      </c>
      <c r="H560" s="22">
        <v>0</v>
      </c>
      <c r="I560" s="22">
        <v>224</v>
      </c>
      <c r="J560" s="23">
        <v>1698</v>
      </c>
    </row>
    <row r="561" spans="1:10" x14ac:dyDescent="0.3">
      <c r="A561" s="20">
        <v>5553957443</v>
      </c>
      <c r="B561" s="21">
        <v>42495</v>
      </c>
      <c r="C561" s="22" t="s">
        <v>12</v>
      </c>
      <c r="D561" s="22">
        <v>4</v>
      </c>
      <c r="E561" s="22">
        <v>14331</v>
      </c>
      <c r="F561" s="22">
        <v>9.5100002288818395</v>
      </c>
      <c r="G561" s="22">
        <v>44</v>
      </c>
      <c r="H561" s="22">
        <v>29</v>
      </c>
      <c r="I561" s="22">
        <v>241</v>
      </c>
      <c r="J561" s="23">
        <v>2156</v>
      </c>
    </row>
    <row r="562" spans="1:10" x14ac:dyDescent="0.3">
      <c r="A562" s="20">
        <v>5553957443</v>
      </c>
      <c r="B562" s="21">
        <v>42496</v>
      </c>
      <c r="C562" s="22" t="s">
        <v>13</v>
      </c>
      <c r="D562" s="22">
        <v>5</v>
      </c>
      <c r="E562" s="22">
        <v>9632</v>
      </c>
      <c r="F562" s="22">
        <v>6.28999996185303</v>
      </c>
      <c r="G562" s="22">
        <v>21</v>
      </c>
      <c r="H562" s="22">
        <v>9</v>
      </c>
      <c r="I562" s="22">
        <v>229</v>
      </c>
      <c r="J562" s="23">
        <v>1916</v>
      </c>
    </row>
    <row r="563" spans="1:10" x14ac:dyDescent="0.3">
      <c r="A563" s="20">
        <v>5553957443</v>
      </c>
      <c r="B563" s="21">
        <v>42497</v>
      </c>
      <c r="C563" s="22" t="s">
        <v>14</v>
      </c>
      <c r="D563" s="22">
        <v>6</v>
      </c>
      <c r="E563" s="22">
        <v>1868</v>
      </c>
      <c r="F563" s="22">
        <v>1.2200000286102299</v>
      </c>
      <c r="G563" s="22">
        <v>0</v>
      </c>
      <c r="H563" s="22">
        <v>0</v>
      </c>
      <c r="I563" s="22">
        <v>96</v>
      </c>
      <c r="J563" s="23">
        <v>1494</v>
      </c>
    </row>
    <row r="564" spans="1:10" x14ac:dyDescent="0.3">
      <c r="A564" s="20">
        <v>5553957443</v>
      </c>
      <c r="B564" s="21">
        <v>42498</v>
      </c>
      <c r="C564" s="22" t="s">
        <v>15</v>
      </c>
      <c r="D564" s="22">
        <v>0</v>
      </c>
      <c r="E564" s="22">
        <v>6083</v>
      </c>
      <c r="F564" s="22">
        <v>4</v>
      </c>
      <c r="G564" s="22">
        <v>3</v>
      </c>
      <c r="H564" s="22">
        <v>8</v>
      </c>
      <c r="I564" s="22">
        <v>210</v>
      </c>
      <c r="J564" s="23">
        <v>1762</v>
      </c>
    </row>
    <row r="565" spans="1:10" x14ac:dyDescent="0.3">
      <c r="A565" s="20">
        <v>5553957443</v>
      </c>
      <c r="B565" s="21">
        <v>42499</v>
      </c>
      <c r="C565" s="22" t="s">
        <v>16</v>
      </c>
      <c r="D565" s="22">
        <v>1</v>
      </c>
      <c r="E565" s="22">
        <v>11611</v>
      </c>
      <c r="F565" s="22">
        <v>7.5799999237060502</v>
      </c>
      <c r="G565" s="22">
        <v>59</v>
      </c>
      <c r="H565" s="22">
        <v>22</v>
      </c>
      <c r="I565" s="22">
        <v>251</v>
      </c>
      <c r="J565" s="23">
        <v>2272</v>
      </c>
    </row>
    <row r="566" spans="1:10" x14ac:dyDescent="0.3">
      <c r="A566" s="20">
        <v>5553957443</v>
      </c>
      <c r="B566" s="21">
        <v>42500</v>
      </c>
      <c r="C566" s="22" t="s">
        <v>10</v>
      </c>
      <c r="D566" s="22">
        <v>2</v>
      </c>
      <c r="E566" s="22">
        <v>16358</v>
      </c>
      <c r="F566" s="22">
        <v>10.710000038146999</v>
      </c>
      <c r="G566" s="22">
        <v>61</v>
      </c>
      <c r="H566" s="22">
        <v>40</v>
      </c>
      <c r="I566" s="22">
        <v>265</v>
      </c>
      <c r="J566" s="23">
        <v>2335</v>
      </c>
    </row>
    <row r="567" spans="1:10" x14ac:dyDescent="0.3">
      <c r="A567" s="20">
        <v>5553957443</v>
      </c>
      <c r="B567" s="21">
        <v>42501</v>
      </c>
      <c r="C567" s="22" t="s">
        <v>11</v>
      </c>
      <c r="D567" s="22">
        <v>3</v>
      </c>
      <c r="E567" s="22">
        <v>4926</v>
      </c>
      <c r="F567" s="22">
        <v>3.2200000286102299</v>
      </c>
      <c r="G567" s="22">
        <v>0</v>
      </c>
      <c r="H567" s="22">
        <v>0</v>
      </c>
      <c r="I567" s="22">
        <v>195</v>
      </c>
      <c r="J567" s="23">
        <v>1693</v>
      </c>
    </row>
    <row r="568" spans="1:10" x14ac:dyDescent="0.3">
      <c r="A568" s="20">
        <v>5553957443</v>
      </c>
      <c r="B568" s="21">
        <v>42502</v>
      </c>
      <c r="C568" s="22" t="s">
        <v>12</v>
      </c>
      <c r="D568" s="22">
        <v>4</v>
      </c>
      <c r="E568" s="22">
        <v>3121</v>
      </c>
      <c r="F568" s="22">
        <v>2.03999996185303</v>
      </c>
      <c r="G568" s="22">
        <v>8</v>
      </c>
      <c r="H568" s="22">
        <v>6</v>
      </c>
      <c r="I568" s="22">
        <v>48</v>
      </c>
      <c r="J568" s="23">
        <v>741</v>
      </c>
    </row>
    <row r="569" spans="1:10" x14ac:dyDescent="0.3">
      <c r="A569" s="20">
        <v>5577150313</v>
      </c>
      <c r="B569" s="21">
        <v>42472</v>
      </c>
      <c r="C569" s="22" t="s">
        <v>10</v>
      </c>
      <c r="D569" s="22">
        <v>2</v>
      </c>
      <c r="E569" s="22">
        <v>8135</v>
      </c>
      <c r="F569" s="22">
        <v>6.0799999237060502</v>
      </c>
      <c r="G569" s="22">
        <v>86</v>
      </c>
      <c r="H569" s="22">
        <v>16</v>
      </c>
      <c r="I569" s="22">
        <v>140</v>
      </c>
      <c r="J569" s="23">
        <v>3405</v>
      </c>
    </row>
    <row r="570" spans="1:10" x14ac:dyDescent="0.3">
      <c r="A570" s="20">
        <v>5577150313</v>
      </c>
      <c r="B570" s="21">
        <v>42473</v>
      </c>
      <c r="C570" s="22" t="s">
        <v>11</v>
      </c>
      <c r="D570" s="22">
        <v>3</v>
      </c>
      <c r="E570" s="22">
        <v>5077</v>
      </c>
      <c r="F570" s="22">
        <v>3.78999996185303</v>
      </c>
      <c r="G570" s="22">
        <v>15</v>
      </c>
      <c r="H570" s="22">
        <v>11</v>
      </c>
      <c r="I570" s="22">
        <v>144</v>
      </c>
      <c r="J570" s="23">
        <v>2551</v>
      </c>
    </row>
    <row r="571" spans="1:10" x14ac:dyDescent="0.3">
      <c r="A571" s="20">
        <v>5577150313</v>
      </c>
      <c r="B571" s="21">
        <v>42474</v>
      </c>
      <c r="C571" s="22" t="s">
        <v>12</v>
      </c>
      <c r="D571" s="22">
        <v>4</v>
      </c>
      <c r="E571" s="22">
        <v>8596</v>
      </c>
      <c r="F571" s="22">
        <v>6.4200000762939498</v>
      </c>
      <c r="G571" s="22">
        <v>118</v>
      </c>
      <c r="H571" s="22">
        <v>30</v>
      </c>
      <c r="I571" s="22">
        <v>176</v>
      </c>
      <c r="J571" s="23">
        <v>4022</v>
      </c>
    </row>
    <row r="572" spans="1:10" x14ac:dyDescent="0.3">
      <c r="A572" s="20">
        <v>5577150313</v>
      </c>
      <c r="B572" s="21">
        <v>42475</v>
      </c>
      <c r="C572" s="22" t="s">
        <v>13</v>
      </c>
      <c r="D572" s="22">
        <v>5</v>
      </c>
      <c r="E572" s="22">
        <v>12087</v>
      </c>
      <c r="F572" s="22">
        <v>9.0799999237060494</v>
      </c>
      <c r="G572" s="22">
        <v>115</v>
      </c>
      <c r="H572" s="22">
        <v>54</v>
      </c>
      <c r="I572" s="22">
        <v>199</v>
      </c>
      <c r="J572" s="23">
        <v>4005</v>
      </c>
    </row>
    <row r="573" spans="1:10" x14ac:dyDescent="0.3">
      <c r="A573" s="20">
        <v>5577150313</v>
      </c>
      <c r="B573" s="21">
        <v>42476</v>
      </c>
      <c r="C573" s="22" t="s">
        <v>14</v>
      </c>
      <c r="D573" s="22">
        <v>6</v>
      </c>
      <c r="E573" s="22">
        <v>14269</v>
      </c>
      <c r="F573" s="22">
        <v>10.6599998474121</v>
      </c>
      <c r="G573" s="22">
        <v>184</v>
      </c>
      <c r="H573" s="22">
        <v>56</v>
      </c>
      <c r="I573" s="22">
        <v>158</v>
      </c>
      <c r="J573" s="23">
        <v>4274</v>
      </c>
    </row>
    <row r="574" spans="1:10" x14ac:dyDescent="0.3">
      <c r="A574" s="20">
        <v>5577150313</v>
      </c>
      <c r="B574" s="21">
        <v>42477</v>
      </c>
      <c r="C574" s="22" t="s">
        <v>15</v>
      </c>
      <c r="D574" s="22">
        <v>0</v>
      </c>
      <c r="E574" s="22">
        <v>12231</v>
      </c>
      <c r="F574" s="22">
        <v>9.1400003433227504</v>
      </c>
      <c r="G574" s="22">
        <v>200</v>
      </c>
      <c r="H574" s="22">
        <v>37</v>
      </c>
      <c r="I574" s="22">
        <v>159</v>
      </c>
      <c r="J574" s="23">
        <v>4552</v>
      </c>
    </row>
    <row r="575" spans="1:10" x14ac:dyDescent="0.3">
      <c r="A575" s="20">
        <v>5577150313</v>
      </c>
      <c r="B575" s="21">
        <v>42478</v>
      </c>
      <c r="C575" s="22" t="s">
        <v>16</v>
      </c>
      <c r="D575" s="22">
        <v>1</v>
      </c>
      <c r="E575" s="22">
        <v>9893</v>
      </c>
      <c r="F575" s="22">
        <v>7.3899998664856001</v>
      </c>
      <c r="G575" s="22">
        <v>114</v>
      </c>
      <c r="H575" s="22">
        <v>32</v>
      </c>
      <c r="I575" s="22">
        <v>130</v>
      </c>
      <c r="J575" s="23">
        <v>3625</v>
      </c>
    </row>
    <row r="576" spans="1:10" x14ac:dyDescent="0.3">
      <c r="A576" s="20">
        <v>5577150313</v>
      </c>
      <c r="B576" s="21">
        <v>42479</v>
      </c>
      <c r="C576" s="22" t="s">
        <v>10</v>
      </c>
      <c r="D576" s="22">
        <v>2</v>
      </c>
      <c r="E576" s="22">
        <v>12574</v>
      </c>
      <c r="F576" s="22">
        <v>9.4200000762939506</v>
      </c>
      <c r="G576" s="22">
        <v>108</v>
      </c>
      <c r="H576" s="22">
        <v>23</v>
      </c>
      <c r="I576" s="22">
        <v>111</v>
      </c>
      <c r="J576" s="23">
        <v>3501</v>
      </c>
    </row>
    <row r="577" spans="1:10" x14ac:dyDescent="0.3">
      <c r="A577" s="20">
        <v>5577150313</v>
      </c>
      <c r="B577" s="21">
        <v>42480</v>
      </c>
      <c r="C577" s="22" t="s">
        <v>11</v>
      </c>
      <c r="D577" s="22">
        <v>3</v>
      </c>
      <c r="E577" s="22">
        <v>8330</v>
      </c>
      <c r="F577" s="22">
        <v>6.2199997901916504</v>
      </c>
      <c r="G577" s="22">
        <v>87</v>
      </c>
      <c r="H577" s="22">
        <v>16</v>
      </c>
      <c r="I577" s="22">
        <v>113</v>
      </c>
      <c r="J577" s="23">
        <v>3192</v>
      </c>
    </row>
    <row r="578" spans="1:10" x14ac:dyDescent="0.3">
      <c r="A578" s="20">
        <v>5577150313</v>
      </c>
      <c r="B578" s="21">
        <v>42481</v>
      </c>
      <c r="C578" s="22" t="s">
        <v>12</v>
      </c>
      <c r="D578" s="22">
        <v>4</v>
      </c>
      <c r="E578" s="22">
        <v>10830</v>
      </c>
      <c r="F578" s="22">
        <v>8.0900001525878906</v>
      </c>
      <c r="G578" s="22">
        <v>110</v>
      </c>
      <c r="H578" s="22">
        <v>74</v>
      </c>
      <c r="I578" s="22">
        <v>175</v>
      </c>
      <c r="J578" s="23">
        <v>4018</v>
      </c>
    </row>
    <row r="579" spans="1:10" x14ac:dyDescent="0.3">
      <c r="A579" s="20">
        <v>5577150313</v>
      </c>
      <c r="B579" s="21">
        <v>42482</v>
      </c>
      <c r="C579" s="22" t="s">
        <v>13</v>
      </c>
      <c r="D579" s="22">
        <v>5</v>
      </c>
      <c r="E579" s="22">
        <v>9172</v>
      </c>
      <c r="F579" s="22">
        <v>6.8499999046325701</v>
      </c>
      <c r="G579" s="22">
        <v>62</v>
      </c>
      <c r="H579" s="22">
        <v>30</v>
      </c>
      <c r="I579" s="22">
        <v>200</v>
      </c>
      <c r="J579" s="23">
        <v>3329</v>
      </c>
    </row>
    <row r="580" spans="1:10" x14ac:dyDescent="0.3">
      <c r="A580" s="20">
        <v>5577150313</v>
      </c>
      <c r="B580" s="21">
        <v>42483</v>
      </c>
      <c r="C580" s="22" t="s">
        <v>14</v>
      </c>
      <c r="D580" s="22">
        <v>6</v>
      </c>
      <c r="E580" s="22">
        <v>7638</v>
      </c>
      <c r="F580" s="22">
        <v>5.71000003814697</v>
      </c>
      <c r="G580" s="22">
        <v>24</v>
      </c>
      <c r="H580" s="22">
        <v>24</v>
      </c>
      <c r="I580" s="22">
        <v>223</v>
      </c>
      <c r="J580" s="23">
        <v>3152</v>
      </c>
    </row>
    <row r="581" spans="1:10" x14ac:dyDescent="0.3">
      <c r="A581" s="20">
        <v>5577150313</v>
      </c>
      <c r="B581" s="21">
        <v>42484</v>
      </c>
      <c r="C581" s="22" t="s">
        <v>15</v>
      </c>
      <c r="D581" s="22">
        <v>0</v>
      </c>
      <c r="E581" s="22">
        <v>15764</v>
      </c>
      <c r="F581" s="22">
        <v>11.7799997329712</v>
      </c>
      <c r="G581" s="22">
        <v>210</v>
      </c>
      <c r="H581" s="22">
        <v>65</v>
      </c>
      <c r="I581" s="22">
        <v>141</v>
      </c>
      <c r="J581" s="23">
        <v>4392</v>
      </c>
    </row>
    <row r="582" spans="1:10" x14ac:dyDescent="0.3">
      <c r="A582" s="20">
        <v>5577150313</v>
      </c>
      <c r="B582" s="21">
        <v>42485</v>
      </c>
      <c r="C582" s="22" t="s">
        <v>16</v>
      </c>
      <c r="D582" s="22">
        <v>1</v>
      </c>
      <c r="E582" s="22">
        <v>6393</v>
      </c>
      <c r="F582" s="22">
        <v>4.7800002098083496</v>
      </c>
      <c r="G582" s="22">
        <v>61</v>
      </c>
      <c r="H582" s="22">
        <v>38</v>
      </c>
      <c r="I582" s="22">
        <v>214</v>
      </c>
      <c r="J582" s="23">
        <v>3374</v>
      </c>
    </row>
    <row r="583" spans="1:10" x14ac:dyDescent="0.3">
      <c r="A583" s="20">
        <v>5577150313</v>
      </c>
      <c r="B583" s="21">
        <v>42486</v>
      </c>
      <c r="C583" s="22" t="s">
        <v>10</v>
      </c>
      <c r="D583" s="22">
        <v>2</v>
      </c>
      <c r="E583" s="22">
        <v>5325</v>
      </c>
      <c r="F583" s="22">
        <v>3.9800000190734899</v>
      </c>
      <c r="G583" s="22">
        <v>38</v>
      </c>
      <c r="H583" s="22">
        <v>32</v>
      </c>
      <c r="I583" s="22">
        <v>181</v>
      </c>
      <c r="J583" s="23">
        <v>3088</v>
      </c>
    </row>
    <row r="584" spans="1:10" x14ac:dyDescent="0.3">
      <c r="A584" s="20">
        <v>5577150313</v>
      </c>
      <c r="B584" s="21">
        <v>42487</v>
      </c>
      <c r="C584" s="22" t="s">
        <v>11</v>
      </c>
      <c r="D584" s="22">
        <v>3</v>
      </c>
      <c r="E584" s="22">
        <v>6805</v>
      </c>
      <c r="F584" s="22">
        <v>5.1399998664856001</v>
      </c>
      <c r="G584" s="22">
        <v>63</v>
      </c>
      <c r="H584" s="22">
        <v>16</v>
      </c>
      <c r="I584" s="22">
        <v>190</v>
      </c>
      <c r="J584" s="23">
        <v>3294</v>
      </c>
    </row>
    <row r="585" spans="1:10" x14ac:dyDescent="0.3">
      <c r="A585" s="20">
        <v>5577150313</v>
      </c>
      <c r="B585" s="21">
        <v>42488</v>
      </c>
      <c r="C585" s="22" t="s">
        <v>12</v>
      </c>
      <c r="D585" s="22">
        <v>4</v>
      </c>
      <c r="E585" s="22">
        <v>9841</v>
      </c>
      <c r="F585" s="22">
        <v>7.4299998283386204</v>
      </c>
      <c r="G585" s="22">
        <v>99</v>
      </c>
      <c r="H585" s="22">
        <v>51</v>
      </c>
      <c r="I585" s="22">
        <v>141</v>
      </c>
      <c r="J585" s="23">
        <v>3580</v>
      </c>
    </row>
    <row r="586" spans="1:10" x14ac:dyDescent="0.3">
      <c r="A586" s="20">
        <v>5577150313</v>
      </c>
      <c r="B586" s="21">
        <v>42489</v>
      </c>
      <c r="C586" s="22" t="s">
        <v>13</v>
      </c>
      <c r="D586" s="22">
        <v>5</v>
      </c>
      <c r="E586" s="22">
        <v>7924</v>
      </c>
      <c r="F586" s="22">
        <v>5.9200000762939498</v>
      </c>
      <c r="G586" s="22">
        <v>97</v>
      </c>
      <c r="H586" s="22">
        <v>36</v>
      </c>
      <c r="I586" s="22">
        <v>165</v>
      </c>
      <c r="J586" s="23">
        <v>3544</v>
      </c>
    </row>
    <row r="587" spans="1:10" x14ac:dyDescent="0.3">
      <c r="A587" s="20">
        <v>5577150313</v>
      </c>
      <c r="B587" s="21">
        <v>42490</v>
      </c>
      <c r="C587" s="22" t="s">
        <v>14</v>
      </c>
      <c r="D587" s="22">
        <v>6</v>
      </c>
      <c r="E587" s="22">
        <v>12363</v>
      </c>
      <c r="F587" s="22">
        <v>9.2399997711181605</v>
      </c>
      <c r="G587" s="22">
        <v>207</v>
      </c>
      <c r="H587" s="22">
        <v>45</v>
      </c>
      <c r="I587" s="22">
        <v>163</v>
      </c>
      <c r="J587" s="23">
        <v>4501</v>
      </c>
    </row>
    <row r="588" spans="1:10" x14ac:dyDescent="0.3">
      <c r="A588" s="20">
        <v>5577150313</v>
      </c>
      <c r="B588" s="21">
        <v>42491</v>
      </c>
      <c r="C588" s="22" t="s">
        <v>15</v>
      </c>
      <c r="D588" s="22">
        <v>0</v>
      </c>
      <c r="E588" s="22">
        <v>13368</v>
      </c>
      <c r="F588" s="22">
        <v>9.9899997711181605</v>
      </c>
      <c r="G588" s="22">
        <v>194</v>
      </c>
      <c r="H588" s="22">
        <v>72</v>
      </c>
      <c r="I588" s="22">
        <v>178</v>
      </c>
      <c r="J588" s="23">
        <v>4546</v>
      </c>
    </row>
    <row r="589" spans="1:10" x14ac:dyDescent="0.3">
      <c r="A589" s="20">
        <v>5577150313</v>
      </c>
      <c r="B589" s="21">
        <v>42492</v>
      </c>
      <c r="C589" s="22" t="s">
        <v>16</v>
      </c>
      <c r="D589" s="22">
        <v>1</v>
      </c>
      <c r="E589" s="22">
        <v>7439</v>
      </c>
      <c r="F589" s="22">
        <v>5.5599999427795401</v>
      </c>
      <c r="G589" s="22">
        <v>37</v>
      </c>
      <c r="H589" s="22">
        <v>20</v>
      </c>
      <c r="I589" s="22">
        <v>235</v>
      </c>
      <c r="J589" s="23">
        <v>3014</v>
      </c>
    </row>
    <row r="590" spans="1:10" x14ac:dyDescent="0.3">
      <c r="A590" s="20">
        <v>5577150313</v>
      </c>
      <c r="B590" s="21">
        <v>42493</v>
      </c>
      <c r="C590" s="22" t="s">
        <v>10</v>
      </c>
      <c r="D590" s="22">
        <v>2</v>
      </c>
      <c r="E590" s="22">
        <v>11045</v>
      </c>
      <c r="F590" s="22">
        <v>8.25</v>
      </c>
      <c r="G590" s="22">
        <v>97</v>
      </c>
      <c r="H590" s="22">
        <v>8</v>
      </c>
      <c r="I590" s="22">
        <v>212</v>
      </c>
      <c r="J590" s="23">
        <v>3795</v>
      </c>
    </row>
    <row r="591" spans="1:10" x14ac:dyDescent="0.3">
      <c r="A591" s="20">
        <v>5577150313</v>
      </c>
      <c r="B591" s="21">
        <v>42494</v>
      </c>
      <c r="C591" s="22" t="s">
        <v>11</v>
      </c>
      <c r="D591" s="22">
        <v>3</v>
      </c>
      <c r="E591" s="22">
        <v>5206</v>
      </c>
      <c r="F591" s="22">
        <v>3.8900001049041699</v>
      </c>
      <c r="G591" s="22">
        <v>25</v>
      </c>
      <c r="H591" s="22">
        <v>9</v>
      </c>
      <c r="I591" s="22">
        <v>141</v>
      </c>
      <c r="J591" s="23">
        <v>2755</v>
      </c>
    </row>
    <row r="592" spans="1:10" x14ac:dyDescent="0.3">
      <c r="A592" s="20">
        <v>5577150313</v>
      </c>
      <c r="B592" s="21">
        <v>42495</v>
      </c>
      <c r="C592" s="22" t="s">
        <v>12</v>
      </c>
      <c r="D592" s="22">
        <v>4</v>
      </c>
      <c r="E592" s="22">
        <v>7550</v>
      </c>
      <c r="F592" s="22">
        <v>5.6399998664856001</v>
      </c>
      <c r="G592" s="22">
        <v>45</v>
      </c>
      <c r="H592" s="22">
        <v>21</v>
      </c>
      <c r="I592" s="22">
        <v>143</v>
      </c>
      <c r="J592" s="23">
        <v>3004</v>
      </c>
    </row>
    <row r="593" spans="1:10" x14ac:dyDescent="0.3">
      <c r="A593" s="20">
        <v>5577150313</v>
      </c>
      <c r="B593" s="21">
        <v>42496</v>
      </c>
      <c r="C593" s="22" t="s">
        <v>13</v>
      </c>
      <c r="D593" s="22">
        <v>5</v>
      </c>
      <c r="E593" s="22">
        <v>4950</v>
      </c>
      <c r="F593" s="22">
        <v>3.7000000476837198</v>
      </c>
      <c r="G593" s="22">
        <v>41</v>
      </c>
      <c r="H593" s="22">
        <v>16</v>
      </c>
      <c r="I593" s="22">
        <v>79</v>
      </c>
      <c r="J593" s="23">
        <v>2643</v>
      </c>
    </row>
    <row r="594" spans="1:10" x14ac:dyDescent="0.3">
      <c r="A594" s="20">
        <v>5577150313</v>
      </c>
      <c r="B594" s="21">
        <v>42497</v>
      </c>
      <c r="C594" s="22" t="s">
        <v>14</v>
      </c>
      <c r="D594" s="22">
        <v>6</v>
      </c>
      <c r="E594" s="22">
        <v>0</v>
      </c>
      <c r="F594" s="22">
        <v>0</v>
      </c>
      <c r="G594" s="22">
        <v>0</v>
      </c>
      <c r="H594" s="22">
        <v>0</v>
      </c>
      <c r="I594" s="22">
        <v>0</v>
      </c>
      <c r="J594" s="23">
        <v>1819</v>
      </c>
    </row>
    <row r="595" spans="1:10" x14ac:dyDescent="0.3">
      <c r="A595" s="20">
        <v>5577150313</v>
      </c>
      <c r="B595" s="21">
        <v>42498</v>
      </c>
      <c r="C595" s="22" t="s">
        <v>15</v>
      </c>
      <c r="D595" s="22">
        <v>0</v>
      </c>
      <c r="E595" s="22">
        <v>0</v>
      </c>
      <c r="F595" s="22">
        <v>0</v>
      </c>
      <c r="G595" s="22">
        <v>0</v>
      </c>
      <c r="H595" s="22">
        <v>0</v>
      </c>
      <c r="I595" s="22">
        <v>0</v>
      </c>
      <c r="J595" s="23">
        <v>1819</v>
      </c>
    </row>
    <row r="596" spans="1:10" x14ac:dyDescent="0.3">
      <c r="A596" s="20">
        <v>5577150313</v>
      </c>
      <c r="B596" s="21">
        <v>42499</v>
      </c>
      <c r="C596" s="22" t="s">
        <v>16</v>
      </c>
      <c r="D596" s="22">
        <v>1</v>
      </c>
      <c r="E596" s="22">
        <v>3421</v>
      </c>
      <c r="F596" s="22">
        <v>2.5599999427795401</v>
      </c>
      <c r="G596" s="22">
        <v>34</v>
      </c>
      <c r="H596" s="22">
        <v>11</v>
      </c>
      <c r="I596" s="22">
        <v>70</v>
      </c>
      <c r="J596" s="23">
        <v>2489</v>
      </c>
    </row>
    <row r="597" spans="1:10" x14ac:dyDescent="0.3">
      <c r="A597" s="20">
        <v>5577150313</v>
      </c>
      <c r="B597" s="21">
        <v>42500</v>
      </c>
      <c r="C597" s="22" t="s">
        <v>10</v>
      </c>
      <c r="D597" s="22">
        <v>2</v>
      </c>
      <c r="E597" s="22">
        <v>8869</v>
      </c>
      <c r="F597" s="22">
        <v>6.6500000953674299</v>
      </c>
      <c r="G597" s="22">
        <v>104</v>
      </c>
      <c r="H597" s="22">
        <v>37</v>
      </c>
      <c r="I597" s="22">
        <v>194</v>
      </c>
      <c r="J597" s="23">
        <v>3841</v>
      </c>
    </row>
    <row r="598" spans="1:10" x14ac:dyDescent="0.3">
      <c r="A598" s="20">
        <v>5577150313</v>
      </c>
      <c r="B598" s="21">
        <v>42501</v>
      </c>
      <c r="C598" s="22" t="s">
        <v>11</v>
      </c>
      <c r="D598" s="22">
        <v>3</v>
      </c>
      <c r="E598" s="22">
        <v>4038</v>
      </c>
      <c r="F598" s="22">
        <v>3.03999996185303</v>
      </c>
      <c r="G598" s="22">
        <v>45</v>
      </c>
      <c r="H598" s="22">
        <v>15</v>
      </c>
      <c r="I598" s="22">
        <v>63</v>
      </c>
      <c r="J598" s="23">
        <v>1665</v>
      </c>
    </row>
    <row r="599" spans="1:10" x14ac:dyDescent="0.3">
      <c r="A599" s="20">
        <v>6117666160</v>
      </c>
      <c r="B599" s="21">
        <v>42472</v>
      </c>
      <c r="C599" s="22" t="s">
        <v>10</v>
      </c>
      <c r="D599" s="22">
        <v>2</v>
      </c>
      <c r="E599" s="22">
        <v>0</v>
      </c>
      <c r="F599" s="22">
        <v>0</v>
      </c>
      <c r="G599" s="22">
        <v>0</v>
      </c>
      <c r="H599" s="22">
        <v>0</v>
      </c>
      <c r="I599" s="22">
        <v>0</v>
      </c>
      <c r="J599" s="23">
        <v>1496</v>
      </c>
    </row>
    <row r="600" spans="1:10" x14ac:dyDescent="0.3">
      <c r="A600" s="20">
        <v>6117666160</v>
      </c>
      <c r="B600" s="21">
        <v>42473</v>
      </c>
      <c r="C600" s="22" t="s">
        <v>11</v>
      </c>
      <c r="D600" s="22">
        <v>3</v>
      </c>
      <c r="E600" s="22">
        <v>0</v>
      </c>
      <c r="F600" s="22">
        <v>0</v>
      </c>
      <c r="G600" s="22">
        <v>0</v>
      </c>
      <c r="H600" s="22">
        <v>0</v>
      </c>
      <c r="I600" s="22">
        <v>0</v>
      </c>
      <c r="J600" s="23">
        <v>1496</v>
      </c>
    </row>
    <row r="601" spans="1:10" x14ac:dyDescent="0.3">
      <c r="A601" s="20">
        <v>6117666160</v>
      </c>
      <c r="B601" s="21">
        <v>42474</v>
      </c>
      <c r="C601" s="22" t="s">
        <v>12</v>
      </c>
      <c r="D601" s="22">
        <v>4</v>
      </c>
      <c r="E601" s="22">
        <v>0</v>
      </c>
      <c r="F601" s="22">
        <v>0</v>
      </c>
      <c r="G601" s="22">
        <v>0</v>
      </c>
      <c r="H601" s="22">
        <v>0</v>
      </c>
      <c r="I601" s="22">
        <v>0</v>
      </c>
      <c r="J601" s="23">
        <v>1496</v>
      </c>
    </row>
    <row r="602" spans="1:10" x14ac:dyDescent="0.3">
      <c r="A602" s="20">
        <v>6117666160</v>
      </c>
      <c r="B602" s="21">
        <v>42475</v>
      </c>
      <c r="C602" s="22" t="s">
        <v>13</v>
      </c>
      <c r="D602" s="22">
        <v>5</v>
      </c>
      <c r="E602" s="22">
        <v>14019</v>
      </c>
      <c r="F602" s="22">
        <v>10.5900001525879</v>
      </c>
      <c r="G602" s="22">
        <v>0</v>
      </c>
      <c r="H602" s="22">
        <v>6</v>
      </c>
      <c r="I602" s="22">
        <v>513</v>
      </c>
      <c r="J602" s="23">
        <v>2865</v>
      </c>
    </row>
    <row r="603" spans="1:10" x14ac:dyDescent="0.3">
      <c r="A603" s="20">
        <v>6117666160</v>
      </c>
      <c r="B603" s="21">
        <v>42476</v>
      </c>
      <c r="C603" s="22" t="s">
        <v>14</v>
      </c>
      <c r="D603" s="22">
        <v>6</v>
      </c>
      <c r="E603" s="22">
        <v>14450</v>
      </c>
      <c r="F603" s="22">
        <v>10.9099998474121</v>
      </c>
      <c r="G603" s="22">
        <v>7</v>
      </c>
      <c r="H603" s="22">
        <v>15</v>
      </c>
      <c r="I603" s="22">
        <v>518</v>
      </c>
      <c r="J603" s="23">
        <v>2828</v>
      </c>
    </row>
    <row r="604" spans="1:10" x14ac:dyDescent="0.3">
      <c r="A604" s="20">
        <v>6117666160</v>
      </c>
      <c r="B604" s="21">
        <v>42477</v>
      </c>
      <c r="C604" s="22" t="s">
        <v>15</v>
      </c>
      <c r="D604" s="22">
        <v>0</v>
      </c>
      <c r="E604" s="22">
        <v>7150</v>
      </c>
      <c r="F604" s="22">
        <v>5.4000000953674299</v>
      </c>
      <c r="G604" s="22">
        <v>0</v>
      </c>
      <c r="H604" s="22">
        <v>0</v>
      </c>
      <c r="I604" s="22">
        <v>312</v>
      </c>
      <c r="J604" s="23">
        <v>2225</v>
      </c>
    </row>
    <row r="605" spans="1:10" x14ac:dyDescent="0.3">
      <c r="A605" s="20">
        <v>6117666160</v>
      </c>
      <c r="B605" s="21">
        <v>42478</v>
      </c>
      <c r="C605" s="22" t="s">
        <v>16</v>
      </c>
      <c r="D605" s="22">
        <v>1</v>
      </c>
      <c r="E605" s="22">
        <v>5153</v>
      </c>
      <c r="F605" s="22">
        <v>3.9100000858306898</v>
      </c>
      <c r="G605" s="22">
        <v>0</v>
      </c>
      <c r="H605" s="22">
        <v>0</v>
      </c>
      <c r="I605" s="22">
        <v>241</v>
      </c>
      <c r="J605" s="23">
        <v>2018</v>
      </c>
    </row>
    <row r="606" spans="1:10" x14ac:dyDescent="0.3">
      <c r="A606" s="20">
        <v>6117666160</v>
      </c>
      <c r="B606" s="21">
        <v>42479</v>
      </c>
      <c r="C606" s="22" t="s">
        <v>10</v>
      </c>
      <c r="D606" s="22">
        <v>2</v>
      </c>
      <c r="E606" s="22">
        <v>11135</v>
      </c>
      <c r="F606" s="22">
        <v>8.4099998474121094</v>
      </c>
      <c r="G606" s="22">
        <v>0</v>
      </c>
      <c r="H606" s="22">
        <v>0</v>
      </c>
      <c r="I606" s="22">
        <v>480</v>
      </c>
      <c r="J606" s="23">
        <v>2606</v>
      </c>
    </row>
    <row r="607" spans="1:10" x14ac:dyDescent="0.3">
      <c r="A607" s="20">
        <v>6117666160</v>
      </c>
      <c r="B607" s="21">
        <v>42480</v>
      </c>
      <c r="C607" s="22" t="s">
        <v>11</v>
      </c>
      <c r="D607" s="22">
        <v>3</v>
      </c>
      <c r="E607" s="22">
        <v>10449</v>
      </c>
      <c r="F607" s="22">
        <v>8.0200004577636701</v>
      </c>
      <c r="G607" s="22">
        <v>26</v>
      </c>
      <c r="H607" s="22">
        <v>10</v>
      </c>
      <c r="I607" s="22">
        <v>349</v>
      </c>
      <c r="J607" s="23">
        <v>2536</v>
      </c>
    </row>
    <row r="608" spans="1:10" x14ac:dyDescent="0.3">
      <c r="A608" s="20">
        <v>6117666160</v>
      </c>
      <c r="B608" s="21">
        <v>42481</v>
      </c>
      <c r="C608" s="22" t="s">
        <v>12</v>
      </c>
      <c r="D608" s="22">
        <v>4</v>
      </c>
      <c r="E608" s="22">
        <v>19542</v>
      </c>
      <c r="F608" s="22">
        <v>15.0100002288818</v>
      </c>
      <c r="G608" s="22">
        <v>11</v>
      </c>
      <c r="H608" s="22">
        <v>19</v>
      </c>
      <c r="I608" s="22">
        <v>294</v>
      </c>
      <c r="J608" s="23">
        <v>4900</v>
      </c>
    </row>
    <row r="609" spans="1:10" x14ac:dyDescent="0.3">
      <c r="A609" s="20">
        <v>6117666160</v>
      </c>
      <c r="B609" s="21">
        <v>42482</v>
      </c>
      <c r="C609" s="22" t="s">
        <v>13</v>
      </c>
      <c r="D609" s="22">
        <v>5</v>
      </c>
      <c r="E609" s="22">
        <v>8206</v>
      </c>
      <c r="F609" s="22">
        <v>6.1999998092651403</v>
      </c>
      <c r="G609" s="22">
        <v>0</v>
      </c>
      <c r="H609" s="22">
        <v>0</v>
      </c>
      <c r="I609" s="22">
        <v>402</v>
      </c>
      <c r="J609" s="23">
        <v>2409</v>
      </c>
    </row>
    <row r="610" spans="1:10" x14ac:dyDescent="0.3">
      <c r="A610" s="20">
        <v>6117666160</v>
      </c>
      <c r="B610" s="21">
        <v>42483</v>
      </c>
      <c r="C610" s="22" t="s">
        <v>14</v>
      </c>
      <c r="D610" s="22">
        <v>6</v>
      </c>
      <c r="E610" s="22">
        <v>11495</v>
      </c>
      <c r="F610" s="22">
        <v>8.6800003051757795</v>
      </c>
      <c r="G610" s="22">
        <v>0</v>
      </c>
      <c r="H610" s="22">
        <v>0</v>
      </c>
      <c r="I610" s="22">
        <v>512</v>
      </c>
      <c r="J610" s="23">
        <v>2651</v>
      </c>
    </row>
    <row r="611" spans="1:10" x14ac:dyDescent="0.3">
      <c r="A611" s="20">
        <v>6117666160</v>
      </c>
      <c r="B611" s="21">
        <v>42484</v>
      </c>
      <c r="C611" s="22" t="s">
        <v>15</v>
      </c>
      <c r="D611" s="22">
        <v>0</v>
      </c>
      <c r="E611" s="22">
        <v>7623</v>
      </c>
      <c r="F611" s="22">
        <v>5.7600002288818404</v>
      </c>
      <c r="G611" s="22">
        <v>0</v>
      </c>
      <c r="H611" s="22">
        <v>0</v>
      </c>
      <c r="I611" s="22">
        <v>362</v>
      </c>
      <c r="J611" s="23">
        <v>2305</v>
      </c>
    </row>
    <row r="612" spans="1:10" x14ac:dyDescent="0.3">
      <c r="A612" s="20">
        <v>6117666160</v>
      </c>
      <c r="B612" s="21">
        <v>42485</v>
      </c>
      <c r="C612" s="22" t="s">
        <v>16</v>
      </c>
      <c r="D612" s="22">
        <v>1</v>
      </c>
      <c r="E612" s="22">
        <v>0</v>
      </c>
      <c r="F612" s="22">
        <v>0</v>
      </c>
      <c r="G612" s="22">
        <v>0</v>
      </c>
      <c r="H612" s="22">
        <v>0</v>
      </c>
      <c r="I612" s="22">
        <v>0</v>
      </c>
      <c r="J612" s="23">
        <v>1497</v>
      </c>
    </row>
    <row r="613" spans="1:10" x14ac:dyDescent="0.3">
      <c r="A613" s="20">
        <v>6117666160</v>
      </c>
      <c r="B613" s="21">
        <v>42486</v>
      </c>
      <c r="C613" s="22" t="s">
        <v>10</v>
      </c>
      <c r="D613" s="22">
        <v>2</v>
      </c>
      <c r="E613" s="22">
        <v>9543</v>
      </c>
      <c r="F613" s="22">
        <v>7.21000003814697</v>
      </c>
      <c r="G613" s="22">
        <v>0</v>
      </c>
      <c r="H613" s="22">
        <v>7</v>
      </c>
      <c r="I613" s="22">
        <v>352</v>
      </c>
      <c r="J613" s="23">
        <v>2450</v>
      </c>
    </row>
    <row r="614" spans="1:10" x14ac:dyDescent="0.3">
      <c r="A614" s="20">
        <v>6117666160</v>
      </c>
      <c r="B614" s="21">
        <v>42487</v>
      </c>
      <c r="C614" s="22" t="s">
        <v>11</v>
      </c>
      <c r="D614" s="22">
        <v>3</v>
      </c>
      <c r="E614" s="22">
        <v>9411</v>
      </c>
      <c r="F614" s="22">
        <v>7.1100001335143999</v>
      </c>
      <c r="G614" s="22">
        <v>0</v>
      </c>
      <c r="H614" s="22">
        <v>0</v>
      </c>
      <c r="I614" s="22">
        <v>458</v>
      </c>
      <c r="J614" s="23">
        <v>2576</v>
      </c>
    </row>
    <row r="615" spans="1:10" x14ac:dyDescent="0.3">
      <c r="A615" s="20">
        <v>6117666160</v>
      </c>
      <c r="B615" s="21">
        <v>42488</v>
      </c>
      <c r="C615" s="22" t="s">
        <v>12</v>
      </c>
      <c r="D615" s="22">
        <v>4</v>
      </c>
      <c r="E615" s="22">
        <v>3403</v>
      </c>
      <c r="F615" s="22">
        <v>2.5999999046325701</v>
      </c>
      <c r="G615" s="22">
        <v>0</v>
      </c>
      <c r="H615" s="22">
        <v>0</v>
      </c>
      <c r="I615" s="22">
        <v>141</v>
      </c>
      <c r="J615" s="23">
        <v>1879</v>
      </c>
    </row>
    <row r="616" spans="1:10" x14ac:dyDescent="0.3">
      <c r="A616" s="20">
        <v>6117666160</v>
      </c>
      <c r="B616" s="21">
        <v>42489</v>
      </c>
      <c r="C616" s="22" t="s">
        <v>13</v>
      </c>
      <c r="D616" s="22">
        <v>5</v>
      </c>
      <c r="E616" s="22">
        <v>9592</v>
      </c>
      <c r="F616" s="22">
        <v>7.2399997711181596</v>
      </c>
      <c r="G616" s="22">
        <v>0</v>
      </c>
      <c r="H616" s="22">
        <v>0</v>
      </c>
      <c r="I616" s="22">
        <v>461</v>
      </c>
      <c r="J616" s="23">
        <v>2560</v>
      </c>
    </row>
    <row r="617" spans="1:10" x14ac:dyDescent="0.3">
      <c r="A617" s="20">
        <v>6117666160</v>
      </c>
      <c r="B617" s="21">
        <v>42490</v>
      </c>
      <c r="C617" s="22" t="s">
        <v>14</v>
      </c>
      <c r="D617" s="22">
        <v>6</v>
      </c>
      <c r="E617" s="22">
        <v>6987</v>
      </c>
      <c r="F617" s="22">
        <v>5.2800002098083496</v>
      </c>
      <c r="G617" s="22">
        <v>0</v>
      </c>
      <c r="H617" s="22">
        <v>0</v>
      </c>
      <c r="I617" s="22">
        <v>343</v>
      </c>
      <c r="J617" s="23">
        <v>2275</v>
      </c>
    </row>
    <row r="618" spans="1:10" x14ac:dyDescent="0.3">
      <c r="A618" s="20">
        <v>6117666160</v>
      </c>
      <c r="B618" s="21">
        <v>42491</v>
      </c>
      <c r="C618" s="22" t="s">
        <v>15</v>
      </c>
      <c r="D618" s="22">
        <v>0</v>
      </c>
      <c r="E618" s="22">
        <v>8915</v>
      </c>
      <c r="F618" s="22">
        <v>6.7300000190734899</v>
      </c>
      <c r="G618" s="22">
        <v>0</v>
      </c>
      <c r="H618" s="22">
        <v>0</v>
      </c>
      <c r="I618" s="22">
        <v>397</v>
      </c>
      <c r="J618" s="23">
        <v>2361</v>
      </c>
    </row>
    <row r="619" spans="1:10" x14ac:dyDescent="0.3">
      <c r="A619" s="20">
        <v>6117666160</v>
      </c>
      <c r="B619" s="21">
        <v>42492</v>
      </c>
      <c r="C619" s="22" t="s">
        <v>16</v>
      </c>
      <c r="D619" s="22">
        <v>1</v>
      </c>
      <c r="E619" s="22">
        <v>4933</v>
      </c>
      <c r="F619" s="22">
        <v>3.7300000190734899</v>
      </c>
      <c r="G619" s="22">
        <v>0</v>
      </c>
      <c r="H619" s="22">
        <v>0</v>
      </c>
      <c r="I619" s="22">
        <v>236</v>
      </c>
      <c r="J619" s="23">
        <v>2044</v>
      </c>
    </row>
    <row r="620" spans="1:10" x14ac:dyDescent="0.3">
      <c r="A620" s="20">
        <v>6117666160</v>
      </c>
      <c r="B620" s="21">
        <v>42493</v>
      </c>
      <c r="C620" s="22" t="s">
        <v>10</v>
      </c>
      <c r="D620" s="22">
        <v>2</v>
      </c>
      <c r="E620" s="22">
        <v>0</v>
      </c>
      <c r="F620" s="22">
        <v>0</v>
      </c>
      <c r="G620" s="22">
        <v>0</v>
      </c>
      <c r="H620" s="22">
        <v>0</v>
      </c>
      <c r="I620" s="22">
        <v>0</v>
      </c>
      <c r="J620" s="23">
        <v>1496</v>
      </c>
    </row>
    <row r="621" spans="1:10" x14ac:dyDescent="0.3">
      <c r="A621" s="20">
        <v>6117666160</v>
      </c>
      <c r="B621" s="21">
        <v>42494</v>
      </c>
      <c r="C621" s="22" t="s">
        <v>11</v>
      </c>
      <c r="D621" s="22">
        <v>3</v>
      </c>
      <c r="E621" s="22">
        <v>2997</v>
      </c>
      <c r="F621" s="22">
        <v>2.2599999904632599</v>
      </c>
      <c r="G621" s="22">
        <v>0</v>
      </c>
      <c r="H621" s="22">
        <v>0</v>
      </c>
      <c r="I621" s="22">
        <v>156</v>
      </c>
      <c r="J621" s="23">
        <v>1902</v>
      </c>
    </row>
    <row r="622" spans="1:10" x14ac:dyDescent="0.3">
      <c r="A622" s="20">
        <v>6117666160</v>
      </c>
      <c r="B622" s="21">
        <v>42495</v>
      </c>
      <c r="C622" s="22" t="s">
        <v>12</v>
      </c>
      <c r="D622" s="22">
        <v>4</v>
      </c>
      <c r="E622" s="22">
        <v>9799</v>
      </c>
      <c r="F622" s="22">
        <v>7.4000000953674299</v>
      </c>
      <c r="G622" s="22">
        <v>0</v>
      </c>
      <c r="H622" s="22">
        <v>0</v>
      </c>
      <c r="I622" s="22">
        <v>487</v>
      </c>
      <c r="J622" s="23">
        <v>2636</v>
      </c>
    </row>
    <row r="623" spans="1:10" x14ac:dyDescent="0.3">
      <c r="A623" s="20">
        <v>6117666160</v>
      </c>
      <c r="B623" s="21">
        <v>42496</v>
      </c>
      <c r="C623" s="22" t="s">
        <v>13</v>
      </c>
      <c r="D623" s="22">
        <v>5</v>
      </c>
      <c r="E623" s="22">
        <v>3365</v>
      </c>
      <c r="F623" s="22">
        <v>2.6800000667571999</v>
      </c>
      <c r="G623" s="22">
        <v>0</v>
      </c>
      <c r="H623" s="22">
        <v>0</v>
      </c>
      <c r="I623" s="22">
        <v>133</v>
      </c>
      <c r="J623" s="23">
        <v>1838</v>
      </c>
    </row>
    <row r="624" spans="1:10" x14ac:dyDescent="0.3">
      <c r="A624" s="20">
        <v>6117666160</v>
      </c>
      <c r="B624" s="21">
        <v>42497</v>
      </c>
      <c r="C624" s="22" t="s">
        <v>14</v>
      </c>
      <c r="D624" s="22">
        <v>6</v>
      </c>
      <c r="E624" s="22">
        <v>7336</v>
      </c>
      <c r="F624" s="22">
        <v>5.53999996185303</v>
      </c>
      <c r="G624" s="22">
        <v>0</v>
      </c>
      <c r="H624" s="22">
        <v>0</v>
      </c>
      <c r="I624" s="22">
        <v>412</v>
      </c>
      <c r="J624" s="23">
        <v>2469</v>
      </c>
    </row>
    <row r="625" spans="1:10" x14ac:dyDescent="0.3">
      <c r="A625" s="20">
        <v>6117666160</v>
      </c>
      <c r="B625" s="21">
        <v>42498</v>
      </c>
      <c r="C625" s="22" t="s">
        <v>15</v>
      </c>
      <c r="D625" s="22">
        <v>0</v>
      </c>
      <c r="E625" s="22">
        <v>7328</v>
      </c>
      <c r="F625" s="22">
        <v>5.5300002098083496</v>
      </c>
      <c r="G625" s="22">
        <v>0</v>
      </c>
      <c r="H625" s="22">
        <v>0</v>
      </c>
      <c r="I625" s="22">
        <v>318</v>
      </c>
      <c r="J625" s="23">
        <v>2250</v>
      </c>
    </row>
    <row r="626" spans="1:10" x14ac:dyDescent="0.3">
      <c r="A626" s="20">
        <v>6117666160</v>
      </c>
      <c r="B626" s="21">
        <v>42499</v>
      </c>
      <c r="C626" s="22" t="s">
        <v>16</v>
      </c>
      <c r="D626" s="22">
        <v>1</v>
      </c>
      <c r="E626" s="22">
        <v>4477</v>
      </c>
      <c r="F626" s="22">
        <v>3.3800001144409202</v>
      </c>
      <c r="G626" s="22">
        <v>0</v>
      </c>
      <c r="H626" s="22">
        <v>0</v>
      </c>
      <c r="I626" s="22">
        <v>197</v>
      </c>
      <c r="J626" s="23">
        <v>1248</v>
      </c>
    </row>
    <row r="627" spans="1:10" x14ac:dyDescent="0.3">
      <c r="A627" s="20">
        <v>6290855005</v>
      </c>
      <c r="B627" s="21">
        <v>42472</v>
      </c>
      <c r="C627" s="22" t="s">
        <v>10</v>
      </c>
      <c r="D627" s="22">
        <v>2</v>
      </c>
      <c r="E627" s="22">
        <v>4562</v>
      </c>
      <c r="F627" s="22">
        <v>3.4500000476837198</v>
      </c>
      <c r="G627" s="22">
        <v>0</v>
      </c>
      <c r="H627" s="22">
        <v>0</v>
      </c>
      <c r="I627" s="22">
        <v>199</v>
      </c>
      <c r="J627" s="23">
        <v>2560</v>
      </c>
    </row>
    <row r="628" spans="1:10" x14ac:dyDescent="0.3">
      <c r="A628" s="20">
        <v>6290855005</v>
      </c>
      <c r="B628" s="21">
        <v>42473</v>
      </c>
      <c r="C628" s="22" t="s">
        <v>11</v>
      </c>
      <c r="D628" s="22">
        <v>3</v>
      </c>
      <c r="E628" s="22">
        <v>7142</v>
      </c>
      <c r="F628" s="22">
        <v>5.4000000953674299</v>
      </c>
      <c r="G628" s="22">
        <v>0</v>
      </c>
      <c r="H628" s="22">
        <v>0</v>
      </c>
      <c r="I628" s="22">
        <v>350</v>
      </c>
      <c r="J628" s="23">
        <v>2905</v>
      </c>
    </row>
    <row r="629" spans="1:10" x14ac:dyDescent="0.3">
      <c r="A629" s="20">
        <v>6290855005</v>
      </c>
      <c r="B629" s="21">
        <v>42474</v>
      </c>
      <c r="C629" s="22" t="s">
        <v>12</v>
      </c>
      <c r="D629" s="22">
        <v>4</v>
      </c>
      <c r="E629" s="22">
        <v>7671</v>
      </c>
      <c r="F629" s="22">
        <v>5.8000001907348597</v>
      </c>
      <c r="G629" s="22">
        <v>0</v>
      </c>
      <c r="H629" s="22">
        <v>0</v>
      </c>
      <c r="I629" s="22">
        <v>363</v>
      </c>
      <c r="J629" s="23">
        <v>2952</v>
      </c>
    </row>
    <row r="630" spans="1:10" x14ac:dyDescent="0.3">
      <c r="A630" s="20">
        <v>6290855005</v>
      </c>
      <c r="B630" s="21">
        <v>42475</v>
      </c>
      <c r="C630" s="22" t="s">
        <v>13</v>
      </c>
      <c r="D630" s="22">
        <v>5</v>
      </c>
      <c r="E630" s="22">
        <v>9501</v>
      </c>
      <c r="F630" s="22">
        <v>7.1799998283386204</v>
      </c>
      <c r="G630" s="22">
        <v>0</v>
      </c>
      <c r="H630" s="22">
        <v>0</v>
      </c>
      <c r="I630" s="22">
        <v>328</v>
      </c>
      <c r="J630" s="23">
        <v>2896</v>
      </c>
    </row>
    <row r="631" spans="1:10" x14ac:dyDescent="0.3">
      <c r="A631" s="20">
        <v>6290855005</v>
      </c>
      <c r="B631" s="21">
        <v>42476</v>
      </c>
      <c r="C631" s="22" t="s">
        <v>14</v>
      </c>
      <c r="D631" s="22">
        <v>6</v>
      </c>
      <c r="E631" s="22">
        <v>8301</v>
      </c>
      <c r="F631" s="22">
        <v>6.2800002098083496</v>
      </c>
      <c r="G631" s="22">
        <v>0</v>
      </c>
      <c r="H631" s="22">
        <v>0</v>
      </c>
      <c r="I631" s="22">
        <v>258</v>
      </c>
      <c r="J631" s="23">
        <v>2783</v>
      </c>
    </row>
    <row r="632" spans="1:10" x14ac:dyDescent="0.3">
      <c r="A632" s="20">
        <v>6290855005</v>
      </c>
      <c r="B632" s="21">
        <v>42477</v>
      </c>
      <c r="C632" s="22" t="s">
        <v>15</v>
      </c>
      <c r="D632" s="22">
        <v>0</v>
      </c>
      <c r="E632" s="22">
        <v>7851</v>
      </c>
      <c r="F632" s="22">
        <v>5.9400000572204599</v>
      </c>
      <c r="G632" s="22">
        <v>31</v>
      </c>
      <c r="H632" s="22">
        <v>12</v>
      </c>
      <c r="I632" s="22">
        <v>225</v>
      </c>
      <c r="J632" s="23">
        <v>3171</v>
      </c>
    </row>
    <row r="633" spans="1:10" x14ac:dyDescent="0.3">
      <c r="A633" s="20">
        <v>6290855005</v>
      </c>
      <c r="B633" s="21">
        <v>42478</v>
      </c>
      <c r="C633" s="22" t="s">
        <v>16</v>
      </c>
      <c r="D633" s="22">
        <v>1</v>
      </c>
      <c r="E633" s="22">
        <v>6885</v>
      </c>
      <c r="F633" s="22">
        <v>5.21000003814697</v>
      </c>
      <c r="G633" s="22">
        <v>0</v>
      </c>
      <c r="H633" s="22">
        <v>0</v>
      </c>
      <c r="I633" s="22">
        <v>271</v>
      </c>
      <c r="J633" s="23">
        <v>2766</v>
      </c>
    </row>
    <row r="634" spans="1:10" x14ac:dyDescent="0.3">
      <c r="A634" s="20">
        <v>6290855005</v>
      </c>
      <c r="B634" s="21">
        <v>42479</v>
      </c>
      <c r="C634" s="22" t="s">
        <v>10</v>
      </c>
      <c r="D634" s="22">
        <v>2</v>
      </c>
      <c r="E634" s="22">
        <v>7142</v>
      </c>
      <c r="F634" s="22">
        <v>5.4000000953674299</v>
      </c>
      <c r="G634" s="22">
        <v>0</v>
      </c>
      <c r="H634" s="22">
        <v>0</v>
      </c>
      <c r="I634" s="22">
        <v>321</v>
      </c>
      <c r="J634" s="23">
        <v>2839</v>
      </c>
    </row>
    <row r="635" spans="1:10" x14ac:dyDescent="0.3">
      <c r="A635" s="20">
        <v>6290855005</v>
      </c>
      <c r="B635" s="21">
        <v>42480</v>
      </c>
      <c r="C635" s="22" t="s">
        <v>11</v>
      </c>
      <c r="D635" s="22">
        <v>3</v>
      </c>
      <c r="E635" s="22">
        <v>6361</v>
      </c>
      <c r="F635" s="22">
        <v>4.8099999427795401</v>
      </c>
      <c r="G635" s="22">
        <v>0</v>
      </c>
      <c r="H635" s="22">
        <v>0</v>
      </c>
      <c r="I635" s="22">
        <v>258</v>
      </c>
      <c r="J635" s="23">
        <v>2701</v>
      </c>
    </row>
    <row r="636" spans="1:10" x14ac:dyDescent="0.3">
      <c r="A636" s="20">
        <v>6290855005</v>
      </c>
      <c r="B636" s="21">
        <v>42481</v>
      </c>
      <c r="C636" s="22" t="s">
        <v>12</v>
      </c>
      <c r="D636" s="22">
        <v>4</v>
      </c>
      <c r="E636" s="22">
        <v>0</v>
      </c>
      <c r="F636" s="22">
        <v>0</v>
      </c>
      <c r="G636" s="22">
        <v>0</v>
      </c>
      <c r="H636" s="22">
        <v>0</v>
      </c>
      <c r="I636" s="22">
        <v>0</v>
      </c>
      <c r="J636" s="23">
        <v>2060</v>
      </c>
    </row>
    <row r="637" spans="1:10" x14ac:dyDescent="0.3">
      <c r="A637" s="20">
        <v>6290855005</v>
      </c>
      <c r="B637" s="21">
        <v>42482</v>
      </c>
      <c r="C637" s="22" t="s">
        <v>13</v>
      </c>
      <c r="D637" s="22">
        <v>5</v>
      </c>
      <c r="E637" s="22">
        <v>6238</v>
      </c>
      <c r="F637" s="22">
        <v>4.7199997901916504</v>
      </c>
      <c r="G637" s="22">
        <v>0</v>
      </c>
      <c r="H637" s="22">
        <v>0</v>
      </c>
      <c r="I637" s="22">
        <v>302</v>
      </c>
      <c r="J637" s="23">
        <v>2796</v>
      </c>
    </row>
    <row r="638" spans="1:10" x14ac:dyDescent="0.3">
      <c r="A638" s="20">
        <v>6290855005</v>
      </c>
      <c r="B638" s="21">
        <v>42483</v>
      </c>
      <c r="C638" s="22" t="s">
        <v>14</v>
      </c>
      <c r="D638" s="22">
        <v>6</v>
      </c>
      <c r="E638" s="22">
        <v>0</v>
      </c>
      <c r="F638" s="22">
        <v>0</v>
      </c>
      <c r="G638" s="22">
        <v>33</v>
      </c>
      <c r="H638" s="22">
        <v>0</v>
      </c>
      <c r="I638" s="22">
        <v>0</v>
      </c>
      <c r="J638" s="23">
        <v>2664</v>
      </c>
    </row>
    <row r="639" spans="1:10" x14ac:dyDescent="0.3">
      <c r="A639" s="20">
        <v>6290855005</v>
      </c>
      <c r="B639" s="21">
        <v>42484</v>
      </c>
      <c r="C639" s="22" t="s">
        <v>15</v>
      </c>
      <c r="D639" s="22">
        <v>0</v>
      </c>
      <c r="E639" s="22">
        <v>5896</v>
      </c>
      <c r="F639" s="22">
        <v>4.46000003814697</v>
      </c>
      <c r="G639" s="22">
        <v>0</v>
      </c>
      <c r="H639" s="22">
        <v>0</v>
      </c>
      <c r="I639" s="22">
        <v>258</v>
      </c>
      <c r="J639" s="23">
        <v>2703</v>
      </c>
    </row>
    <row r="640" spans="1:10" x14ac:dyDescent="0.3">
      <c r="A640" s="20">
        <v>6290855005</v>
      </c>
      <c r="B640" s="21">
        <v>42485</v>
      </c>
      <c r="C640" s="22" t="s">
        <v>16</v>
      </c>
      <c r="D640" s="22">
        <v>1</v>
      </c>
      <c r="E640" s="22">
        <v>7802</v>
      </c>
      <c r="F640" s="22">
        <v>5.9000000953674299</v>
      </c>
      <c r="G640" s="22">
        <v>8</v>
      </c>
      <c r="H640" s="22">
        <v>3</v>
      </c>
      <c r="I640" s="22">
        <v>249</v>
      </c>
      <c r="J640" s="23">
        <v>2771</v>
      </c>
    </row>
    <row r="641" spans="1:10" x14ac:dyDescent="0.3">
      <c r="A641" s="20">
        <v>6290855005</v>
      </c>
      <c r="B641" s="21">
        <v>42486</v>
      </c>
      <c r="C641" s="22" t="s">
        <v>10</v>
      </c>
      <c r="D641" s="22">
        <v>2</v>
      </c>
      <c r="E641" s="22">
        <v>0</v>
      </c>
      <c r="F641" s="22">
        <v>0</v>
      </c>
      <c r="G641" s="22">
        <v>0</v>
      </c>
      <c r="H641" s="22">
        <v>0</v>
      </c>
      <c r="I641" s="22">
        <v>0</v>
      </c>
      <c r="J641" s="23">
        <v>2060</v>
      </c>
    </row>
    <row r="642" spans="1:10" x14ac:dyDescent="0.3">
      <c r="A642" s="20">
        <v>6290855005</v>
      </c>
      <c r="B642" s="21">
        <v>42487</v>
      </c>
      <c r="C642" s="22" t="s">
        <v>11</v>
      </c>
      <c r="D642" s="22">
        <v>3</v>
      </c>
      <c r="E642" s="22">
        <v>5565</v>
      </c>
      <c r="F642" s="22">
        <v>4.21000003814697</v>
      </c>
      <c r="G642" s="22">
        <v>0</v>
      </c>
      <c r="H642" s="22">
        <v>0</v>
      </c>
      <c r="I642" s="22">
        <v>287</v>
      </c>
      <c r="J642" s="23">
        <v>2743</v>
      </c>
    </row>
    <row r="643" spans="1:10" x14ac:dyDescent="0.3">
      <c r="A643" s="20">
        <v>6290855005</v>
      </c>
      <c r="B643" s="21">
        <v>42488</v>
      </c>
      <c r="C643" s="22" t="s">
        <v>12</v>
      </c>
      <c r="D643" s="22">
        <v>4</v>
      </c>
      <c r="E643" s="22">
        <v>5731</v>
      </c>
      <c r="F643" s="22">
        <v>4.3299999237060502</v>
      </c>
      <c r="G643" s="22">
        <v>0</v>
      </c>
      <c r="H643" s="22">
        <v>0</v>
      </c>
      <c r="I643" s="22">
        <v>255</v>
      </c>
      <c r="J643" s="23">
        <v>2687</v>
      </c>
    </row>
    <row r="644" spans="1:10" x14ac:dyDescent="0.3">
      <c r="A644" s="20">
        <v>6290855005</v>
      </c>
      <c r="B644" s="21">
        <v>42489</v>
      </c>
      <c r="C644" s="22" t="s">
        <v>13</v>
      </c>
      <c r="D644" s="22">
        <v>5</v>
      </c>
      <c r="E644" s="22">
        <v>0</v>
      </c>
      <c r="F644" s="22">
        <v>0</v>
      </c>
      <c r="G644" s="22">
        <v>0</v>
      </c>
      <c r="H644" s="22">
        <v>0</v>
      </c>
      <c r="I644" s="22">
        <v>0</v>
      </c>
      <c r="J644" s="23">
        <v>2060</v>
      </c>
    </row>
    <row r="645" spans="1:10" x14ac:dyDescent="0.3">
      <c r="A645" s="20">
        <v>6290855005</v>
      </c>
      <c r="B645" s="21">
        <v>42490</v>
      </c>
      <c r="C645" s="22" t="s">
        <v>14</v>
      </c>
      <c r="D645" s="22">
        <v>6</v>
      </c>
      <c r="E645" s="22">
        <v>6744</v>
      </c>
      <c r="F645" s="22">
        <v>5.0999999046325701</v>
      </c>
      <c r="G645" s="22">
        <v>0</v>
      </c>
      <c r="H645" s="22">
        <v>0</v>
      </c>
      <c r="I645" s="22">
        <v>324</v>
      </c>
      <c r="J645" s="23">
        <v>2843</v>
      </c>
    </row>
    <row r="646" spans="1:10" x14ac:dyDescent="0.3">
      <c r="A646" s="20">
        <v>6290855005</v>
      </c>
      <c r="B646" s="21">
        <v>42491</v>
      </c>
      <c r="C646" s="22" t="s">
        <v>15</v>
      </c>
      <c r="D646" s="22">
        <v>0</v>
      </c>
      <c r="E646" s="22">
        <v>9837</v>
      </c>
      <c r="F646" s="22">
        <v>7.4400000572204599</v>
      </c>
      <c r="G646" s="22">
        <v>8</v>
      </c>
      <c r="H646" s="22">
        <v>95</v>
      </c>
      <c r="I646" s="22">
        <v>282</v>
      </c>
      <c r="J646" s="23">
        <v>3327</v>
      </c>
    </row>
    <row r="647" spans="1:10" x14ac:dyDescent="0.3">
      <c r="A647" s="20">
        <v>6290855005</v>
      </c>
      <c r="B647" s="21">
        <v>42492</v>
      </c>
      <c r="C647" s="22" t="s">
        <v>16</v>
      </c>
      <c r="D647" s="22">
        <v>1</v>
      </c>
      <c r="E647" s="22">
        <v>6781</v>
      </c>
      <c r="F647" s="22">
        <v>5.1300001144409197</v>
      </c>
      <c r="G647" s="22">
        <v>0</v>
      </c>
      <c r="H647" s="22">
        <v>0</v>
      </c>
      <c r="I647" s="22">
        <v>268</v>
      </c>
      <c r="J647" s="23">
        <v>2725</v>
      </c>
    </row>
    <row r="648" spans="1:10" x14ac:dyDescent="0.3">
      <c r="A648" s="20">
        <v>6290855005</v>
      </c>
      <c r="B648" s="21">
        <v>42493</v>
      </c>
      <c r="C648" s="22" t="s">
        <v>10</v>
      </c>
      <c r="D648" s="22">
        <v>2</v>
      </c>
      <c r="E648" s="22">
        <v>6047</v>
      </c>
      <c r="F648" s="22">
        <v>4.5700001716613796</v>
      </c>
      <c r="G648" s="22">
        <v>0</v>
      </c>
      <c r="H648" s="22">
        <v>0</v>
      </c>
      <c r="I648" s="22">
        <v>240</v>
      </c>
      <c r="J648" s="23">
        <v>2671</v>
      </c>
    </row>
    <row r="649" spans="1:10" x14ac:dyDescent="0.3">
      <c r="A649" s="20">
        <v>6290855005</v>
      </c>
      <c r="B649" s="21">
        <v>42494</v>
      </c>
      <c r="C649" s="22" t="s">
        <v>11</v>
      </c>
      <c r="D649" s="22">
        <v>3</v>
      </c>
      <c r="E649" s="22">
        <v>5832</v>
      </c>
      <c r="F649" s="22">
        <v>4.4099998474121103</v>
      </c>
      <c r="G649" s="22">
        <v>0</v>
      </c>
      <c r="H649" s="22">
        <v>0</v>
      </c>
      <c r="I649" s="22">
        <v>272</v>
      </c>
      <c r="J649" s="23">
        <v>2718</v>
      </c>
    </row>
    <row r="650" spans="1:10" x14ac:dyDescent="0.3">
      <c r="A650" s="20">
        <v>6290855005</v>
      </c>
      <c r="B650" s="21">
        <v>42495</v>
      </c>
      <c r="C650" s="22" t="s">
        <v>12</v>
      </c>
      <c r="D650" s="22">
        <v>4</v>
      </c>
      <c r="E650" s="22">
        <v>6339</v>
      </c>
      <c r="F650" s="22">
        <v>4.78999996185303</v>
      </c>
      <c r="G650" s="22">
        <v>0</v>
      </c>
      <c r="H650" s="22">
        <v>0</v>
      </c>
      <c r="I650" s="22">
        <v>239</v>
      </c>
      <c r="J650" s="23">
        <v>2682</v>
      </c>
    </row>
    <row r="651" spans="1:10" x14ac:dyDescent="0.3">
      <c r="A651" s="20">
        <v>6290855005</v>
      </c>
      <c r="B651" s="21">
        <v>42496</v>
      </c>
      <c r="C651" s="22" t="s">
        <v>13</v>
      </c>
      <c r="D651" s="22">
        <v>5</v>
      </c>
      <c r="E651" s="22">
        <v>6116</v>
      </c>
      <c r="F651" s="22">
        <v>4.6199998855590803</v>
      </c>
      <c r="G651" s="22">
        <v>0</v>
      </c>
      <c r="H651" s="22">
        <v>0</v>
      </c>
      <c r="I651" s="22">
        <v>305</v>
      </c>
      <c r="J651" s="23">
        <v>2806</v>
      </c>
    </row>
    <row r="652" spans="1:10" x14ac:dyDescent="0.3">
      <c r="A652" s="20">
        <v>6290855005</v>
      </c>
      <c r="B652" s="21">
        <v>42497</v>
      </c>
      <c r="C652" s="22" t="s">
        <v>14</v>
      </c>
      <c r="D652" s="22">
        <v>6</v>
      </c>
      <c r="E652" s="22">
        <v>5510</v>
      </c>
      <c r="F652" s="22">
        <v>4.1700000762939498</v>
      </c>
      <c r="G652" s="22">
        <v>0</v>
      </c>
      <c r="H652" s="22">
        <v>0</v>
      </c>
      <c r="I652" s="22">
        <v>227</v>
      </c>
      <c r="J652" s="23">
        <v>2613</v>
      </c>
    </row>
    <row r="653" spans="1:10" x14ac:dyDescent="0.3">
      <c r="A653" s="20">
        <v>6290855005</v>
      </c>
      <c r="B653" s="21">
        <v>42498</v>
      </c>
      <c r="C653" s="22" t="s">
        <v>15</v>
      </c>
      <c r="D653" s="22">
        <v>0</v>
      </c>
      <c r="E653" s="22">
        <v>7706</v>
      </c>
      <c r="F653" s="22">
        <v>5.8299999237060502</v>
      </c>
      <c r="G653" s="22">
        <v>0</v>
      </c>
      <c r="H653" s="22">
        <v>0</v>
      </c>
      <c r="I653" s="22">
        <v>251</v>
      </c>
      <c r="J653" s="23">
        <v>2712</v>
      </c>
    </row>
    <row r="654" spans="1:10" x14ac:dyDescent="0.3">
      <c r="A654" s="20">
        <v>6290855005</v>
      </c>
      <c r="B654" s="21">
        <v>42499</v>
      </c>
      <c r="C654" s="22" t="s">
        <v>16</v>
      </c>
      <c r="D654" s="22">
        <v>1</v>
      </c>
      <c r="E654" s="22">
        <v>6277</v>
      </c>
      <c r="F654" s="22">
        <v>4.75</v>
      </c>
      <c r="G654" s="22">
        <v>0</v>
      </c>
      <c r="H654" s="22">
        <v>0</v>
      </c>
      <c r="I654" s="22">
        <v>264</v>
      </c>
      <c r="J654" s="23">
        <v>2175</v>
      </c>
    </row>
    <row r="655" spans="1:10" x14ac:dyDescent="0.3">
      <c r="A655" s="20">
        <v>6290855005</v>
      </c>
      <c r="B655" s="21">
        <v>42500</v>
      </c>
      <c r="C655" s="22" t="s">
        <v>10</v>
      </c>
      <c r="D655" s="22">
        <v>2</v>
      </c>
      <c r="E655" s="22">
        <v>0</v>
      </c>
      <c r="F655" s="22">
        <v>0</v>
      </c>
      <c r="G655" s="22">
        <v>0</v>
      </c>
      <c r="H655" s="22">
        <v>0</v>
      </c>
      <c r="I655" s="22">
        <v>0</v>
      </c>
      <c r="J655" s="23">
        <v>0</v>
      </c>
    </row>
    <row r="656" spans="1:10" x14ac:dyDescent="0.3">
      <c r="A656" s="20">
        <v>6775888955</v>
      </c>
      <c r="B656" s="21">
        <v>42472</v>
      </c>
      <c r="C656" s="22" t="s">
        <v>10</v>
      </c>
      <c r="D656" s="22">
        <v>2</v>
      </c>
      <c r="E656" s="22">
        <v>0</v>
      </c>
      <c r="F656" s="22">
        <v>0</v>
      </c>
      <c r="G656" s="22">
        <v>0</v>
      </c>
      <c r="H656" s="22">
        <v>0</v>
      </c>
      <c r="I656" s="22">
        <v>0</v>
      </c>
      <c r="J656" s="23">
        <v>1841</v>
      </c>
    </row>
    <row r="657" spans="1:10" x14ac:dyDescent="0.3">
      <c r="A657" s="20">
        <v>6775888955</v>
      </c>
      <c r="B657" s="21">
        <v>42473</v>
      </c>
      <c r="C657" s="22" t="s">
        <v>11</v>
      </c>
      <c r="D657" s="22">
        <v>3</v>
      </c>
      <c r="E657" s="22">
        <v>4053</v>
      </c>
      <c r="F657" s="22">
        <v>2.9100000858306898</v>
      </c>
      <c r="G657" s="22">
        <v>17</v>
      </c>
      <c r="H657" s="22">
        <v>18</v>
      </c>
      <c r="I657" s="22">
        <v>85</v>
      </c>
      <c r="J657" s="23">
        <v>2400</v>
      </c>
    </row>
    <row r="658" spans="1:10" x14ac:dyDescent="0.3">
      <c r="A658" s="20">
        <v>6775888955</v>
      </c>
      <c r="B658" s="21">
        <v>42474</v>
      </c>
      <c r="C658" s="22" t="s">
        <v>12</v>
      </c>
      <c r="D658" s="22">
        <v>4</v>
      </c>
      <c r="E658" s="22">
        <v>5162</v>
      </c>
      <c r="F658" s="22">
        <v>3.7000000476837198</v>
      </c>
      <c r="G658" s="22">
        <v>14</v>
      </c>
      <c r="H658" s="22">
        <v>24</v>
      </c>
      <c r="I658" s="22">
        <v>105</v>
      </c>
      <c r="J658" s="23">
        <v>2507</v>
      </c>
    </row>
    <row r="659" spans="1:10" x14ac:dyDescent="0.3">
      <c r="A659" s="20">
        <v>6775888955</v>
      </c>
      <c r="B659" s="21">
        <v>42475</v>
      </c>
      <c r="C659" s="22" t="s">
        <v>13</v>
      </c>
      <c r="D659" s="22">
        <v>5</v>
      </c>
      <c r="E659" s="22">
        <v>1282</v>
      </c>
      <c r="F659" s="22">
        <v>0.92000001668930098</v>
      </c>
      <c r="G659" s="22">
        <v>0</v>
      </c>
      <c r="H659" s="22">
        <v>0</v>
      </c>
      <c r="I659" s="22">
        <v>58</v>
      </c>
      <c r="J659" s="23">
        <v>2127</v>
      </c>
    </row>
    <row r="660" spans="1:10" x14ac:dyDescent="0.3">
      <c r="A660" s="20">
        <v>6775888955</v>
      </c>
      <c r="B660" s="21">
        <v>42476</v>
      </c>
      <c r="C660" s="22" t="s">
        <v>14</v>
      </c>
      <c r="D660" s="22">
        <v>6</v>
      </c>
      <c r="E660" s="22">
        <v>4732</v>
      </c>
      <c r="F660" s="22">
        <v>3.3900001049041699</v>
      </c>
      <c r="G660" s="22">
        <v>36</v>
      </c>
      <c r="H660" s="22">
        <v>18</v>
      </c>
      <c r="I660" s="22">
        <v>9</v>
      </c>
      <c r="J660" s="23">
        <v>2225</v>
      </c>
    </row>
    <row r="661" spans="1:10" x14ac:dyDescent="0.3">
      <c r="A661" s="20">
        <v>6775888955</v>
      </c>
      <c r="B661" s="21">
        <v>42477</v>
      </c>
      <c r="C661" s="22" t="s">
        <v>15</v>
      </c>
      <c r="D661" s="22">
        <v>0</v>
      </c>
      <c r="E661" s="22">
        <v>2497</v>
      </c>
      <c r="F661" s="22">
        <v>1.78999996185303</v>
      </c>
      <c r="G661" s="22">
        <v>5</v>
      </c>
      <c r="H661" s="22">
        <v>24</v>
      </c>
      <c r="I661" s="22">
        <v>19</v>
      </c>
      <c r="J661" s="23">
        <v>2067</v>
      </c>
    </row>
    <row r="662" spans="1:10" x14ac:dyDescent="0.3">
      <c r="A662" s="20">
        <v>6775888955</v>
      </c>
      <c r="B662" s="21">
        <v>42478</v>
      </c>
      <c r="C662" s="22" t="s">
        <v>16</v>
      </c>
      <c r="D662" s="22">
        <v>1</v>
      </c>
      <c r="E662" s="22">
        <v>8294</v>
      </c>
      <c r="F662" s="22">
        <v>5.9499998092651403</v>
      </c>
      <c r="G662" s="22">
        <v>30</v>
      </c>
      <c r="H662" s="22">
        <v>31</v>
      </c>
      <c r="I662" s="22">
        <v>146</v>
      </c>
      <c r="J662" s="23">
        <v>2798</v>
      </c>
    </row>
    <row r="663" spans="1:10" x14ac:dyDescent="0.3">
      <c r="A663" s="20">
        <v>6775888955</v>
      </c>
      <c r="B663" s="21">
        <v>42479</v>
      </c>
      <c r="C663" s="22" t="s">
        <v>10</v>
      </c>
      <c r="D663" s="22">
        <v>2</v>
      </c>
      <c r="E663" s="22">
        <v>0</v>
      </c>
      <c r="F663" s="22">
        <v>0</v>
      </c>
      <c r="G663" s="22">
        <v>0</v>
      </c>
      <c r="H663" s="22">
        <v>0</v>
      </c>
      <c r="I663" s="22">
        <v>0</v>
      </c>
      <c r="J663" s="23">
        <v>1841</v>
      </c>
    </row>
    <row r="664" spans="1:10" x14ac:dyDescent="0.3">
      <c r="A664" s="20">
        <v>6775888955</v>
      </c>
      <c r="B664" s="21">
        <v>42480</v>
      </c>
      <c r="C664" s="22" t="s">
        <v>11</v>
      </c>
      <c r="D664" s="22">
        <v>3</v>
      </c>
      <c r="E664" s="22">
        <v>10771</v>
      </c>
      <c r="F664" s="22">
        <v>7.7199997901916504</v>
      </c>
      <c r="G664" s="22">
        <v>70</v>
      </c>
      <c r="H664" s="22">
        <v>113</v>
      </c>
      <c r="I664" s="22">
        <v>178</v>
      </c>
      <c r="J664" s="23">
        <v>3727</v>
      </c>
    </row>
    <row r="665" spans="1:10" x14ac:dyDescent="0.3">
      <c r="A665" s="20">
        <v>6775888955</v>
      </c>
      <c r="B665" s="21">
        <v>42481</v>
      </c>
      <c r="C665" s="22" t="s">
        <v>12</v>
      </c>
      <c r="D665" s="22">
        <v>4</v>
      </c>
      <c r="E665" s="22">
        <v>0</v>
      </c>
      <c r="F665" s="22">
        <v>0</v>
      </c>
      <c r="G665" s="22">
        <v>0</v>
      </c>
      <c r="H665" s="22">
        <v>0</v>
      </c>
      <c r="I665" s="22">
        <v>0</v>
      </c>
      <c r="J665" s="23">
        <v>1841</v>
      </c>
    </row>
    <row r="666" spans="1:10" x14ac:dyDescent="0.3">
      <c r="A666" s="20">
        <v>6775888955</v>
      </c>
      <c r="B666" s="21">
        <v>42482</v>
      </c>
      <c r="C666" s="22" t="s">
        <v>13</v>
      </c>
      <c r="D666" s="22">
        <v>5</v>
      </c>
      <c r="E666" s="22">
        <v>637</v>
      </c>
      <c r="F666" s="22">
        <v>0.46000000834464999</v>
      </c>
      <c r="G666" s="22">
        <v>0</v>
      </c>
      <c r="H666" s="22">
        <v>0</v>
      </c>
      <c r="I666" s="22">
        <v>20</v>
      </c>
      <c r="J666" s="23">
        <v>1922</v>
      </c>
    </row>
    <row r="667" spans="1:10" x14ac:dyDescent="0.3">
      <c r="A667" s="20">
        <v>6775888955</v>
      </c>
      <c r="B667" s="21">
        <v>42483</v>
      </c>
      <c r="C667" s="22" t="s">
        <v>14</v>
      </c>
      <c r="D667" s="22">
        <v>6</v>
      </c>
      <c r="E667" s="22">
        <v>0</v>
      </c>
      <c r="F667" s="22">
        <v>0</v>
      </c>
      <c r="G667" s="22">
        <v>0</v>
      </c>
      <c r="H667" s="22">
        <v>0</v>
      </c>
      <c r="I667" s="22">
        <v>0</v>
      </c>
      <c r="J667" s="23">
        <v>1841</v>
      </c>
    </row>
    <row r="668" spans="1:10" x14ac:dyDescent="0.3">
      <c r="A668" s="20">
        <v>6775888955</v>
      </c>
      <c r="B668" s="21">
        <v>42484</v>
      </c>
      <c r="C668" s="22" t="s">
        <v>15</v>
      </c>
      <c r="D668" s="22">
        <v>0</v>
      </c>
      <c r="E668" s="22">
        <v>2153</v>
      </c>
      <c r="F668" s="22">
        <v>1.53999996185303</v>
      </c>
      <c r="G668" s="22">
        <v>11</v>
      </c>
      <c r="H668" s="22">
        <v>18</v>
      </c>
      <c r="I668" s="22">
        <v>11</v>
      </c>
      <c r="J668" s="23">
        <v>2053</v>
      </c>
    </row>
    <row r="669" spans="1:10" x14ac:dyDescent="0.3">
      <c r="A669" s="20">
        <v>6775888955</v>
      </c>
      <c r="B669" s="21">
        <v>42485</v>
      </c>
      <c r="C669" s="22" t="s">
        <v>16</v>
      </c>
      <c r="D669" s="22">
        <v>1</v>
      </c>
      <c r="E669" s="22">
        <v>6474</v>
      </c>
      <c r="F669" s="22">
        <v>4.6399998664856001</v>
      </c>
      <c r="G669" s="22">
        <v>33</v>
      </c>
      <c r="H669" s="22">
        <v>13</v>
      </c>
      <c r="I669" s="22">
        <v>92</v>
      </c>
      <c r="J669" s="23">
        <v>2484</v>
      </c>
    </row>
    <row r="670" spans="1:10" x14ac:dyDescent="0.3">
      <c r="A670" s="20">
        <v>6775888955</v>
      </c>
      <c r="B670" s="21">
        <v>42486</v>
      </c>
      <c r="C670" s="22" t="s">
        <v>10</v>
      </c>
      <c r="D670" s="22">
        <v>2</v>
      </c>
      <c r="E670" s="22">
        <v>7091</v>
      </c>
      <c r="F670" s="22">
        <v>5.2699999809265101</v>
      </c>
      <c r="G670" s="22">
        <v>42</v>
      </c>
      <c r="H670" s="22">
        <v>30</v>
      </c>
      <c r="I670" s="22">
        <v>47</v>
      </c>
      <c r="J670" s="23">
        <v>2584</v>
      </c>
    </row>
    <row r="671" spans="1:10" x14ac:dyDescent="0.3">
      <c r="A671" s="20">
        <v>6775888955</v>
      </c>
      <c r="B671" s="21">
        <v>42487</v>
      </c>
      <c r="C671" s="22" t="s">
        <v>11</v>
      </c>
      <c r="D671" s="22">
        <v>3</v>
      </c>
      <c r="E671" s="22">
        <v>0</v>
      </c>
      <c r="F671" s="22">
        <v>0</v>
      </c>
      <c r="G671" s="22">
        <v>0</v>
      </c>
      <c r="H671" s="22">
        <v>0</v>
      </c>
      <c r="I671" s="22">
        <v>0</v>
      </c>
      <c r="J671" s="23">
        <v>1841</v>
      </c>
    </row>
    <row r="672" spans="1:10" x14ac:dyDescent="0.3">
      <c r="A672" s="20">
        <v>6775888955</v>
      </c>
      <c r="B672" s="21">
        <v>42488</v>
      </c>
      <c r="C672" s="22" t="s">
        <v>12</v>
      </c>
      <c r="D672" s="22">
        <v>4</v>
      </c>
      <c r="E672" s="22">
        <v>703</v>
      </c>
      <c r="F672" s="22">
        <v>0.5</v>
      </c>
      <c r="G672" s="22">
        <v>2</v>
      </c>
      <c r="H672" s="22">
        <v>13</v>
      </c>
      <c r="I672" s="22">
        <v>15</v>
      </c>
      <c r="J672" s="23">
        <v>1993</v>
      </c>
    </row>
    <row r="673" spans="1:10" x14ac:dyDescent="0.3">
      <c r="A673" s="20">
        <v>6775888955</v>
      </c>
      <c r="B673" s="21">
        <v>42489</v>
      </c>
      <c r="C673" s="22" t="s">
        <v>13</v>
      </c>
      <c r="D673" s="22">
        <v>5</v>
      </c>
      <c r="E673" s="22">
        <v>0</v>
      </c>
      <c r="F673" s="22">
        <v>0</v>
      </c>
      <c r="G673" s="22">
        <v>0</v>
      </c>
      <c r="H673" s="22">
        <v>0</v>
      </c>
      <c r="I673" s="22">
        <v>0</v>
      </c>
      <c r="J673" s="23">
        <v>1841</v>
      </c>
    </row>
    <row r="674" spans="1:10" x14ac:dyDescent="0.3">
      <c r="A674" s="20">
        <v>6775888955</v>
      </c>
      <c r="B674" s="21">
        <v>42490</v>
      </c>
      <c r="C674" s="22" t="s">
        <v>14</v>
      </c>
      <c r="D674" s="22">
        <v>6</v>
      </c>
      <c r="E674" s="22">
        <v>2503</v>
      </c>
      <c r="F674" s="22">
        <v>1.78999996185303</v>
      </c>
      <c r="G674" s="22">
        <v>3</v>
      </c>
      <c r="H674" s="22">
        <v>9</v>
      </c>
      <c r="I674" s="22">
        <v>84</v>
      </c>
      <c r="J674" s="23">
        <v>2280</v>
      </c>
    </row>
    <row r="675" spans="1:10" x14ac:dyDescent="0.3">
      <c r="A675" s="20">
        <v>6775888955</v>
      </c>
      <c r="B675" s="21">
        <v>42491</v>
      </c>
      <c r="C675" s="22" t="s">
        <v>15</v>
      </c>
      <c r="D675" s="22">
        <v>0</v>
      </c>
      <c r="E675" s="22">
        <v>2487</v>
      </c>
      <c r="F675" s="22">
        <v>1.7799999713897701</v>
      </c>
      <c r="G675" s="22">
        <v>9</v>
      </c>
      <c r="H675" s="22">
        <v>34</v>
      </c>
      <c r="I675" s="22">
        <v>50</v>
      </c>
      <c r="J675" s="23">
        <v>2319</v>
      </c>
    </row>
    <row r="676" spans="1:10" x14ac:dyDescent="0.3">
      <c r="A676" s="20">
        <v>6775888955</v>
      </c>
      <c r="B676" s="21">
        <v>42492</v>
      </c>
      <c r="C676" s="22" t="s">
        <v>16</v>
      </c>
      <c r="D676" s="22">
        <v>1</v>
      </c>
      <c r="E676" s="22">
        <v>0</v>
      </c>
      <c r="F676" s="22">
        <v>0</v>
      </c>
      <c r="G676" s="22">
        <v>0</v>
      </c>
      <c r="H676" s="22">
        <v>0</v>
      </c>
      <c r="I676" s="22">
        <v>0</v>
      </c>
      <c r="J676" s="23">
        <v>1841</v>
      </c>
    </row>
    <row r="677" spans="1:10" x14ac:dyDescent="0.3">
      <c r="A677" s="20">
        <v>6775888955</v>
      </c>
      <c r="B677" s="21">
        <v>42493</v>
      </c>
      <c r="C677" s="22" t="s">
        <v>10</v>
      </c>
      <c r="D677" s="22">
        <v>2</v>
      </c>
      <c r="E677" s="22">
        <v>9</v>
      </c>
      <c r="F677" s="22">
        <v>9.9999997764825804E-3</v>
      </c>
      <c r="G677" s="22">
        <v>0</v>
      </c>
      <c r="H677" s="22">
        <v>0</v>
      </c>
      <c r="I677" s="22">
        <v>1</v>
      </c>
      <c r="J677" s="23">
        <v>1843</v>
      </c>
    </row>
    <row r="678" spans="1:10" x14ac:dyDescent="0.3">
      <c r="A678" s="20">
        <v>6775888955</v>
      </c>
      <c r="B678" s="21">
        <v>42494</v>
      </c>
      <c r="C678" s="22" t="s">
        <v>11</v>
      </c>
      <c r="D678" s="22">
        <v>3</v>
      </c>
      <c r="E678" s="22">
        <v>0</v>
      </c>
      <c r="F678" s="22">
        <v>0</v>
      </c>
      <c r="G678" s="22">
        <v>0</v>
      </c>
      <c r="H678" s="22">
        <v>0</v>
      </c>
      <c r="I678" s="22">
        <v>0</v>
      </c>
      <c r="J678" s="23">
        <v>1841</v>
      </c>
    </row>
    <row r="679" spans="1:10" x14ac:dyDescent="0.3">
      <c r="A679" s="20">
        <v>6775888955</v>
      </c>
      <c r="B679" s="21">
        <v>42495</v>
      </c>
      <c r="C679" s="22" t="s">
        <v>12</v>
      </c>
      <c r="D679" s="22">
        <v>4</v>
      </c>
      <c r="E679" s="22">
        <v>0</v>
      </c>
      <c r="F679" s="22">
        <v>0</v>
      </c>
      <c r="G679" s="22">
        <v>0</v>
      </c>
      <c r="H679" s="22">
        <v>0</v>
      </c>
      <c r="I679" s="22">
        <v>0</v>
      </c>
      <c r="J679" s="23">
        <v>1841</v>
      </c>
    </row>
    <row r="680" spans="1:10" x14ac:dyDescent="0.3">
      <c r="A680" s="20">
        <v>6775888955</v>
      </c>
      <c r="B680" s="21">
        <v>42496</v>
      </c>
      <c r="C680" s="22" t="s">
        <v>13</v>
      </c>
      <c r="D680" s="22">
        <v>5</v>
      </c>
      <c r="E680" s="22">
        <v>4697</v>
      </c>
      <c r="F680" s="22">
        <v>3.3699998855590798</v>
      </c>
      <c r="G680" s="22">
        <v>12</v>
      </c>
      <c r="H680" s="22">
        <v>35</v>
      </c>
      <c r="I680" s="22">
        <v>75</v>
      </c>
      <c r="J680" s="23">
        <v>2496</v>
      </c>
    </row>
    <row r="681" spans="1:10" x14ac:dyDescent="0.3">
      <c r="A681" s="20">
        <v>6775888955</v>
      </c>
      <c r="B681" s="21">
        <v>42497</v>
      </c>
      <c r="C681" s="22" t="s">
        <v>14</v>
      </c>
      <c r="D681" s="22">
        <v>6</v>
      </c>
      <c r="E681" s="22">
        <v>1967</v>
      </c>
      <c r="F681" s="22">
        <v>1.4099999666214</v>
      </c>
      <c r="G681" s="22">
        <v>2</v>
      </c>
      <c r="H681" s="22">
        <v>5</v>
      </c>
      <c r="I681" s="22">
        <v>49</v>
      </c>
      <c r="J681" s="23">
        <v>1032</v>
      </c>
    </row>
    <row r="682" spans="1:10" x14ac:dyDescent="0.3">
      <c r="A682" s="20">
        <v>6962181067</v>
      </c>
      <c r="B682" s="21">
        <v>42472</v>
      </c>
      <c r="C682" s="22" t="s">
        <v>10</v>
      </c>
      <c r="D682" s="22">
        <v>2</v>
      </c>
      <c r="E682" s="22">
        <v>10199</v>
      </c>
      <c r="F682" s="22">
        <v>6.7399997711181596</v>
      </c>
      <c r="G682" s="22">
        <v>50</v>
      </c>
      <c r="H682" s="22">
        <v>14</v>
      </c>
      <c r="I682" s="22">
        <v>189</v>
      </c>
      <c r="J682" s="23">
        <v>1994</v>
      </c>
    </row>
    <row r="683" spans="1:10" x14ac:dyDescent="0.3">
      <c r="A683" s="20">
        <v>6962181067</v>
      </c>
      <c r="B683" s="21">
        <v>42473</v>
      </c>
      <c r="C683" s="22" t="s">
        <v>11</v>
      </c>
      <c r="D683" s="22">
        <v>3</v>
      </c>
      <c r="E683" s="22">
        <v>5652</v>
      </c>
      <c r="F683" s="22">
        <v>3.7400000095367401</v>
      </c>
      <c r="G683" s="22">
        <v>8</v>
      </c>
      <c r="H683" s="22">
        <v>24</v>
      </c>
      <c r="I683" s="22">
        <v>142</v>
      </c>
      <c r="J683" s="23">
        <v>1718</v>
      </c>
    </row>
    <row r="684" spans="1:10" x14ac:dyDescent="0.3">
      <c r="A684" s="20">
        <v>6962181067</v>
      </c>
      <c r="B684" s="21">
        <v>42474</v>
      </c>
      <c r="C684" s="22" t="s">
        <v>12</v>
      </c>
      <c r="D684" s="22">
        <v>4</v>
      </c>
      <c r="E684" s="22">
        <v>1551</v>
      </c>
      <c r="F684" s="22">
        <v>1.0299999713897701</v>
      </c>
      <c r="G684" s="22">
        <v>0</v>
      </c>
      <c r="H684" s="22">
        <v>0</v>
      </c>
      <c r="I684" s="22">
        <v>86</v>
      </c>
      <c r="J684" s="23">
        <v>1466</v>
      </c>
    </row>
    <row r="685" spans="1:10" x14ac:dyDescent="0.3">
      <c r="A685" s="20">
        <v>6962181067</v>
      </c>
      <c r="B685" s="21">
        <v>42475</v>
      </c>
      <c r="C685" s="22" t="s">
        <v>13</v>
      </c>
      <c r="D685" s="22">
        <v>5</v>
      </c>
      <c r="E685" s="22">
        <v>5563</v>
      </c>
      <c r="F685" s="22">
        <v>3.6800000667571999</v>
      </c>
      <c r="G685" s="22">
        <v>0</v>
      </c>
      <c r="H685" s="22">
        <v>0</v>
      </c>
      <c r="I685" s="22">
        <v>217</v>
      </c>
      <c r="J685" s="23">
        <v>1756</v>
      </c>
    </row>
    <row r="686" spans="1:10" x14ac:dyDescent="0.3">
      <c r="A686" s="20">
        <v>6962181067</v>
      </c>
      <c r="B686" s="21">
        <v>42476</v>
      </c>
      <c r="C686" s="22" t="s">
        <v>14</v>
      </c>
      <c r="D686" s="22">
        <v>6</v>
      </c>
      <c r="E686" s="22">
        <v>13217</v>
      </c>
      <c r="F686" s="22">
        <v>8.7399997711181605</v>
      </c>
      <c r="G686" s="22">
        <v>50</v>
      </c>
      <c r="H686" s="22">
        <v>3</v>
      </c>
      <c r="I686" s="22">
        <v>280</v>
      </c>
      <c r="J686" s="23">
        <v>2173</v>
      </c>
    </row>
    <row r="687" spans="1:10" x14ac:dyDescent="0.3">
      <c r="A687" s="20">
        <v>6962181067</v>
      </c>
      <c r="B687" s="21">
        <v>42477</v>
      </c>
      <c r="C687" s="22" t="s">
        <v>15</v>
      </c>
      <c r="D687" s="22">
        <v>0</v>
      </c>
      <c r="E687" s="22">
        <v>10145</v>
      </c>
      <c r="F687" s="22">
        <v>6.71000003814697</v>
      </c>
      <c r="G687" s="22">
        <v>5</v>
      </c>
      <c r="H687" s="22">
        <v>13</v>
      </c>
      <c r="I687" s="22">
        <v>295</v>
      </c>
      <c r="J687" s="23">
        <v>2027</v>
      </c>
    </row>
    <row r="688" spans="1:10" x14ac:dyDescent="0.3">
      <c r="A688" s="20">
        <v>6962181067</v>
      </c>
      <c r="B688" s="21">
        <v>42478</v>
      </c>
      <c r="C688" s="22" t="s">
        <v>16</v>
      </c>
      <c r="D688" s="22">
        <v>1</v>
      </c>
      <c r="E688" s="22">
        <v>11404</v>
      </c>
      <c r="F688" s="22">
        <v>7.53999996185303</v>
      </c>
      <c r="G688" s="22">
        <v>13</v>
      </c>
      <c r="H688" s="22">
        <v>42</v>
      </c>
      <c r="I688" s="22">
        <v>238</v>
      </c>
      <c r="J688" s="23">
        <v>2039</v>
      </c>
    </row>
    <row r="689" spans="1:10" x14ac:dyDescent="0.3">
      <c r="A689" s="20">
        <v>6962181067</v>
      </c>
      <c r="B689" s="21">
        <v>42479</v>
      </c>
      <c r="C689" s="22" t="s">
        <v>10</v>
      </c>
      <c r="D689" s="22">
        <v>2</v>
      </c>
      <c r="E689" s="22">
        <v>10742</v>
      </c>
      <c r="F689" s="22">
        <v>7.0999999046325701</v>
      </c>
      <c r="G689" s="22">
        <v>35</v>
      </c>
      <c r="H689" s="22">
        <v>41</v>
      </c>
      <c r="I689" s="22">
        <v>195</v>
      </c>
      <c r="J689" s="23">
        <v>2046</v>
      </c>
    </row>
    <row r="690" spans="1:10" x14ac:dyDescent="0.3">
      <c r="A690" s="20">
        <v>6962181067</v>
      </c>
      <c r="B690" s="21">
        <v>42480</v>
      </c>
      <c r="C690" s="22" t="s">
        <v>11</v>
      </c>
      <c r="D690" s="22">
        <v>3</v>
      </c>
      <c r="E690" s="22">
        <v>13928</v>
      </c>
      <c r="F690" s="22">
        <v>9.5500001907348597</v>
      </c>
      <c r="G690" s="22">
        <v>48</v>
      </c>
      <c r="H690" s="22">
        <v>4</v>
      </c>
      <c r="I690" s="22">
        <v>297</v>
      </c>
      <c r="J690" s="23">
        <v>2174</v>
      </c>
    </row>
    <row r="691" spans="1:10" x14ac:dyDescent="0.3">
      <c r="A691" s="20">
        <v>6962181067</v>
      </c>
      <c r="B691" s="21">
        <v>42481</v>
      </c>
      <c r="C691" s="22" t="s">
        <v>12</v>
      </c>
      <c r="D691" s="22">
        <v>4</v>
      </c>
      <c r="E691" s="22">
        <v>11835</v>
      </c>
      <c r="F691" s="22">
        <v>9.7100000381469709</v>
      </c>
      <c r="G691" s="22">
        <v>53</v>
      </c>
      <c r="H691" s="22">
        <v>27</v>
      </c>
      <c r="I691" s="22">
        <v>214</v>
      </c>
      <c r="J691" s="23">
        <v>2179</v>
      </c>
    </row>
    <row r="692" spans="1:10" x14ac:dyDescent="0.3">
      <c r="A692" s="20">
        <v>6962181067</v>
      </c>
      <c r="B692" s="21">
        <v>42482</v>
      </c>
      <c r="C692" s="22" t="s">
        <v>13</v>
      </c>
      <c r="D692" s="22">
        <v>5</v>
      </c>
      <c r="E692" s="22">
        <v>10725</v>
      </c>
      <c r="F692" s="22">
        <v>7.0900001525878897</v>
      </c>
      <c r="G692" s="22">
        <v>30</v>
      </c>
      <c r="H692" s="22">
        <v>33</v>
      </c>
      <c r="I692" s="22">
        <v>240</v>
      </c>
      <c r="J692" s="23">
        <v>2086</v>
      </c>
    </row>
    <row r="693" spans="1:10" x14ac:dyDescent="0.3">
      <c r="A693" s="20">
        <v>6962181067</v>
      </c>
      <c r="B693" s="21">
        <v>42483</v>
      </c>
      <c r="C693" s="22" t="s">
        <v>14</v>
      </c>
      <c r="D693" s="22">
        <v>6</v>
      </c>
      <c r="E693" s="22">
        <v>20031</v>
      </c>
      <c r="F693" s="22">
        <v>13.2399997711182</v>
      </c>
      <c r="G693" s="22">
        <v>58</v>
      </c>
      <c r="H693" s="22">
        <v>41</v>
      </c>
      <c r="I693" s="22">
        <v>347</v>
      </c>
      <c r="J693" s="23">
        <v>2571</v>
      </c>
    </row>
    <row r="694" spans="1:10" x14ac:dyDescent="0.3">
      <c r="A694" s="20">
        <v>6962181067</v>
      </c>
      <c r="B694" s="21">
        <v>42484</v>
      </c>
      <c r="C694" s="22" t="s">
        <v>15</v>
      </c>
      <c r="D694" s="22">
        <v>0</v>
      </c>
      <c r="E694" s="22">
        <v>5029</v>
      </c>
      <c r="F694" s="22">
        <v>3.3199999332428001</v>
      </c>
      <c r="G694" s="22">
        <v>0</v>
      </c>
      <c r="H694" s="22">
        <v>0</v>
      </c>
      <c r="I694" s="22">
        <v>199</v>
      </c>
      <c r="J694" s="23">
        <v>1705</v>
      </c>
    </row>
    <row r="695" spans="1:10" x14ac:dyDescent="0.3">
      <c r="A695" s="20">
        <v>6962181067</v>
      </c>
      <c r="B695" s="21">
        <v>42485</v>
      </c>
      <c r="C695" s="22" t="s">
        <v>16</v>
      </c>
      <c r="D695" s="22">
        <v>1</v>
      </c>
      <c r="E695" s="22">
        <v>13239</v>
      </c>
      <c r="F695" s="22">
        <v>9.2700004577636701</v>
      </c>
      <c r="G695" s="22">
        <v>35</v>
      </c>
      <c r="H695" s="22">
        <v>31</v>
      </c>
      <c r="I695" s="22">
        <v>282</v>
      </c>
      <c r="J695" s="23">
        <v>2194</v>
      </c>
    </row>
    <row r="696" spans="1:10" x14ac:dyDescent="0.3">
      <c r="A696" s="20">
        <v>6962181067</v>
      </c>
      <c r="B696" s="21">
        <v>42486</v>
      </c>
      <c r="C696" s="22" t="s">
        <v>10</v>
      </c>
      <c r="D696" s="22">
        <v>2</v>
      </c>
      <c r="E696" s="22">
        <v>10433</v>
      </c>
      <c r="F696" s="22">
        <v>6.9000000953674299</v>
      </c>
      <c r="G696" s="22">
        <v>36</v>
      </c>
      <c r="H696" s="22">
        <v>7</v>
      </c>
      <c r="I696" s="22">
        <v>254</v>
      </c>
      <c r="J696" s="23">
        <v>2012</v>
      </c>
    </row>
    <row r="697" spans="1:10" x14ac:dyDescent="0.3">
      <c r="A697" s="20">
        <v>6962181067</v>
      </c>
      <c r="B697" s="21">
        <v>42487</v>
      </c>
      <c r="C697" s="22" t="s">
        <v>11</v>
      </c>
      <c r="D697" s="22">
        <v>3</v>
      </c>
      <c r="E697" s="22">
        <v>10320</v>
      </c>
      <c r="F697" s="22">
        <v>6.8200001716613796</v>
      </c>
      <c r="G697" s="22">
        <v>7</v>
      </c>
      <c r="H697" s="22">
        <v>38</v>
      </c>
      <c r="I697" s="22">
        <v>279</v>
      </c>
      <c r="J697" s="23">
        <v>2034</v>
      </c>
    </row>
    <row r="698" spans="1:10" x14ac:dyDescent="0.3">
      <c r="A698" s="20">
        <v>6962181067</v>
      </c>
      <c r="B698" s="21">
        <v>42488</v>
      </c>
      <c r="C698" s="22" t="s">
        <v>12</v>
      </c>
      <c r="D698" s="22">
        <v>4</v>
      </c>
      <c r="E698" s="22">
        <v>12627</v>
      </c>
      <c r="F698" s="22">
        <v>8.3500003814697301</v>
      </c>
      <c r="G698" s="22">
        <v>38</v>
      </c>
      <c r="H698" s="22">
        <v>8</v>
      </c>
      <c r="I698" s="22">
        <v>288</v>
      </c>
      <c r="J698" s="23">
        <v>2182</v>
      </c>
    </row>
    <row r="699" spans="1:10" x14ac:dyDescent="0.3">
      <c r="A699" s="20">
        <v>6962181067</v>
      </c>
      <c r="B699" s="21">
        <v>42489</v>
      </c>
      <c r="C699" s="22" t="s">
        <v>13</v>
      </c>
      <c r="D699" s="22">
        <v>5</v>
      </c>
      <c r="E699" s="22">
        <v>10762</v>
      </c>
      <c r="F699" s="22">
        <v>7.1100001335143999</v>
      </c>
      <c r="G699" s="22">
        <v>12</v>
      </c>
      <c r="H699" s="22">
        <v>15</v>
      </c>
      <c r="I699" s="22">
        <v>369</v>
      </c>
      <c r="J699" s="23">
        <v>2254</v>
      </c>
    </row>
    <row r="700" spans="1:10" x14ac:dyDescent="0.3">
      <c r="A700" s="20">
        <v>6962181067</v>
      </c>
      <c r="B700" s="21">
        <v>42490</v>
      </c>
      <c r="C700" s="22" t="s">
        <v>14</v>
      </c>
      <c r="D700" s="22">
        <v>6</v>
      </c>
      <c r="E700" s="22">
        <v>10081</v>
      </c>
      <c r="F700" s="22">
        <v>6.6599998474121103</v>
      </c>
      <c r="G700" s="22">
        <v>32</v>
      </c>
      <c r="H700" s="22">
        <v>16</v>
      </c>
      <c r="I700" s="22">
        <v>237</v>
      </c>
      <c r="J700" s="23">
        <v>2002</v>
      </c>
    </row>
    <row r="701" spans="1:10" x14ac:dyDescent="0.3">
      <c r="A701" s="20">
        <v>6962181067</v>
      </c>
      <c r="B701" s="21">
        <v>42491</v>
      </c>
      <c r="C701" s="22" t="s">
        <v>15</v>
      </c>
      <c r="D701" s="22">
        <v>0</v>
      </c>
      <c r="E701" s="22">
        <v>5454</v>
      </c>
      <c r="F701" s="22">
        <v>3.6099998950958301</v>
      </c>
      <c r="G701" s="22">
        <v>0</v>
      </c>
      <c r="H701" s="22">
        <v>0</v>
      </c>
      <c r="I701" s="22">
        <v>215</v>
      </c>
      <c r="J701" s="23">
        <v>1740</v>
      </c>
    </row>
    <row r="702" spans="1:10" x14ac:dyDescent="0.3">
      <c r="A702" s="20">
        <v>6962181067</v>
      </c>
      <c r="B702" s="21">
        <v>42492</v>
      </c>
      <c r="C702" s="22" t="s">
        <v>16</v>
      </c>
      <c r="D702" s="22">
        <v>1</v>
      </c>
      <c r="E702" s="22">
        <v>12912</v>
      </c>
      <c r="F702" s="22">
        <v>8.5399999618530291</v>
      </c>
      <c r="G702" s="22">
        <v>18</v>
      </c>
      <c r="H702" s="22">
        <v>39</v>
      </c>
      <c r="I702" s="22">
        <v>313</v>
      </c>
      <c r="J702" s="23">
        <v>2162</v>
      </c>
    </row>
    <row r="703" spans="1:10" x14ac:dyDescent="0.3">
      <c r="A703" s="20">
        <v>6962181067</v>
      </c>
      <c r="B703" s="21">
        <v>42493</v>
      </c>
      <c r="C703" s="22" t="s">
        <v>10</v>
      </c>
      <c r="D703" s="22">
        <v>2</v>
      </c>
      <c r="E703" s="22">
        <v>12109</v>
      </c>
      <c r="F703" s="22">
        <v>8.1199998855590803</v>
      </c>
      <c r="G703" s="22">
        <v>21</v>
      </c>
      <c r="H703" s="22">
        <v>36</v>
      </c>
      <c r="I703" s="22">
        <v>267</v>
      </c>
      <c r="J703" s="23">
        <v>2072</v>
      </c>
    </row>
    <row r="704" spans="1:10" x14ac:dyDescent="0.3">
      <c r="A704" s="20">
        <v>6962181067</v>
      </c>
      <c r="B704" s="21">
        <v>42494</v>
      </c>
      <c r="C704" s="22" t="s">
        <v>11</v>
      </c>
      <c r="D704" s="22">
        <v>3</v>
      </c>
      <c r="E704" s="22">
        <v>10147</v>
      </c>
      <c r="F704" s="22">
        <v>6.71000003814697</v>
      </c>
      <c r="G704" s="22">
        <v>15</v>
      </c>
      <c r="H704" s="22">
        <v>36</v>
      </c>
      <c r="I704" s="22">
        <v>284</v>
      </c>
      <c r="J704" s="23">
        <v>2086</v>
      </c>
    </row>
    <row r="705" spans="1:10" x14ac:dyDescent="0.3">
      <c r="A705" s="20">
        <v>6962181067</v>
      </c>
      <c r="B705" s="21">
        <v>42495</v>
      </c>
      <c r="C705" s="22" t="s">
        <v>12</v>
      </c>
      <c r="D705" s="22">
        <v>4</v>
      </c>
      <c r="E705" s="22">
        <v>10524</v>
      </c>
      <c r="F705" s="22">
        <v>6.96000003814697</v>
      </c>
      <c r="G705" s="22">
        <v>14</v>
      </c>
      <c r="H705" s="22">
        <v>22</v>
      </c>
      <c r="I705" s="22">
        <v>305</v>
      </c>
      <c r="J705" s="23">
        <v>2066</v>
      </c>
    </row>
    <row r="706" spans="1:10" x14ac:dyDescent="0.3">
      <c r="A706" s="20">
        <v>6962181067</v>
      </c>
      <c r="B706" s="21">
        <v>42496</v>
      </c>
      <c r="C706" s="22" t="s">
        <v>13</v>
      </c>
      <c r="D706" s="22">
        <v>5</v>
      </c>
      <c r="E706" s="22">
        <v>5908</v>
      </c>
      <c r="F706" s="22">
        <v>3.9100000858306898</v>
      </c>
      <c r="G706" s="22">
        <v>0</v>
      </c>
      <c r="H706" s="22">
        <v>0</v>
      </c>
      <c r="I706" s="22">
        <v>299</v>
      </c>
      <c r="J706" s="23">
        <v>1850</v>
      </c>
    </row>
    <row r="707" spans="1:10" x14ac:dyDescent="0.3">
      <c r="A707" s="20">
        <v>6962181067</v>
      </c>
      <c r="B707" s="21">
        <v>42497</v>
      </c>
      <c r="C707" s="22" t="s">
        <v>14</v>
      </c>
      <c r="D707" s="22">
        <v>6</v>
      </c>
      <c r="E707" s="22">
        <v>6815</v>
      </c>
      <c r="F707" s="22">
        <v>4.5</v>
      </c>
      <c r="G707" s="22">
        <v>0</v>
      </c>
      <c r="H707" s="22">
        <v>0</v>
      </c>
      <c r="I707" s="22">
        <v>328</v>
      </c>
      <c r="J707" s="23">
        <v>1947</v>
      </c>
    </row>
    <row r="708" spans="1:10" x14ac:dyDescent="0.3">
      <c r="A708" s="20">
        <v>6962181067</v>
      </c>
      <c r="B708" s="21">
        <v>42498</v>
      </c>
      <c r="C708" s="22" t="s">
        <v>15</v>
      </c>
      <c r="D708" s="22">
        <v>0</v>
      </c>
      <c r="E708" s="22">
        <v>4188</v>
      </c>
      <c r="F708" s="22">
        <v>2.7699999809265101</v>
      </c>
      <c r="G708" s="22">
        <v>0</v>
      </c>
      <c r="H708" s="22">
        <v>14</v>
      </c>
      <c r="I708" s="22">
        <v>151</v>
      </c>
      <c r="J708" s="23">
        <v>1659</v>
      </c>
    </row>
    <row r="709" spans="1:10" x14ac:dyDescent="0.3">
      <c r="A709" s="20">
        <v>6962181067</v>
      </c>
      <c r="B709" s="21">
        <v>42499</v>
      </c>
      <c r="C709" s="22" t="s">
        <v>16</v>
      </c>
      <c r="D709" s="22">
        <v>1</v>
      </c>
      <c r="E709" s="22">
        <v>12342</v>
      </c>
      <c r="F709" s="22">
        <v>8.7200002670288104</v>
      </c>
      <c r="G709" s="22">
        <v>43</v>
      </c>
      <c r="H709" s="22">
        <v>21</v>
      </c>
      <c r="I709" s="22">
        <v>231</v>
      </c>
      <c r="J709" s="23">
        <v>2105</v>
      </c>
    </row>
    <row r="710" spans="1:10" x14ac:dyDescent="0.3">
      <c r="A710" s="20">
        <v>6962181067</v>
      </c>
      <c r="B710" s="21">
        <v>42500</v>
      </c>
      <c r="C710" s="22" t="s">
        <v>10</v>
      </c>
      <c r="D710" s="22">
        <v>2</v>
      </c>
      <c r="E710" s="22">
        <v>15448</v>
      </c>
      <c r="F710" s="22">
        <v>10.210000038146999</v>
      </c>
      <c r="G710" s="22">
        <v>62</v>
      </c>
      <c r="H710" s="22">
        <v>34</v>
      </c>
      <c r="I710" s="22">
        <v>275</v>
      </c>
      <c r="J710" s="23">
        <v>2361</v>
      </c>
    </row>
    <row r="711" spans="1:10" x14ac:dyDescent="0.3">
      <c r="A711" s="20">
        <v>6962181067</v>
      </c>
      <c r="B711" s="21">
        <v>42501</v>
      </c>
      <c r="C711" s="22" t="s">
        <v>11</v>
      </c>
      <c r="D711" s="22">
        <v>3</v>
      </c>
      <c r="E711" s="22">
        <v>6722</v>
      </c>
      <c r="F711" s="22">
        <v>4.4400000572204599</v>
      </c>
      <c r="G711" s="22">
        <v>24</v>
      </c>
      <c r="H711" s="22">
        <v>7</v>
      </c>
      <c r="I711" s="22">
        <v>199</v>
      </c>
      <c r="J711" s="23">
        <v>1855</v>
      </c>
    </row>
    <row r="712" spans="1:10" x14ac:dyDescent="0.3">
      <c r="A712" s="20">
        <v>6962181067</v>
      </c>
      <c r="B712" s="21">
        <v>42502</v>
      </c>
      <c r="C712" s="22" t="s">
        <v>12</v>
      </c>
      <c r="D712" s="22">
        <v>4</v>
      </c>
      <c r="E712" s="22">
        <v>3587</v>
      </c>
      <c r="F712" s="22">
        <v>2.3699998855590798</v>
      </c>
      <c r="G712" s="22">
        <v>0</v>
      </c>
      <c r="H712" s="22">
        <v>8</v>
      </c>
      <c r="I712" s="22">
        <v>105</v>
      </c>
      <c r="J712" s="23">
        <v>928</v>
      </c>
    </row>
    <row r="713" spans="1:10" x14ac:dyDescent="0.3">
      <c r="A713" s="20">
        <v>7007744171</v>
      </c>
      <c r="B713" s="21">
        <v>42472</v>
      </c>
      <c r="C713" s="22" t="s">
        <v>10</v>
      </c>
      <c r="D713" s="22">
        <v>2</v>
      </c>
      <c r="E713" s="22">
        <v>14172</v>
      </c>
      <c r="F713" s="22">
        <v>10.289999961853001</v>
      </c>
      <c r="G713" s="22">
        <v>53</v>
      </c>
      <c r="H713" s="22">
        <v>8</v>
      </c>
      <c r="I713" s="22">
        <v>355</v>
      </c>
      <c r="J713" s="23">
        <v>2937</v>
      </c>
    </row>
    <row r="714" spans="1:10" x14ac:dyDescent="0.3">
      <c r="A714" s="20">
        <v>7007744171</v>
      </c>
      <c r="B714" s="21">
        <v>42473</v>
      </c>
      <c r="C714" s="22" t="s">
        <v>11</v>
      </c>
      <c r="D714" s="22">
        <v>3</v>
      </c>
      <c r="E714" s="22">
        <v>12862</v>
      </c>
      <c r="F714" s="22">
        <v>9.6499996185302699</v>
      </c>
      <c r="G714" s="22">
        <v>56</v>
      </c>
      <c r="H714" s="22">
        <v>22</v>
      </c>
      <c r="I714" s="22">
        <v>261</v>
      </c>
      <c r="J714" s="23">
        <v>2742</v>
      </c>
    </row>
    <row r="715" spans="1:10" x14ac:dyDescent="0.3">
      <c r="A715" s="20">
        <v>7007744171</v>
      </c>
      <c r="B715" s="21">
        <v>42474</v>
      </c>
      <c r="C715" s="22" t="s">
        <v>12</v>
      </c>
      <c r="D715" s="22">
        <v>4</v>
      </c>
      <c r="E715" s="22">
        <v>11179</v>
      </c>
      <c r="F715" s="22">
        <v>8.2399997711181605</v>
      </c>
      <c r="G715" s="22">
        <v>34</v>
      </c>
      <c r="H715" s="22">
        <v>6</v>
      </c>
      <c r="I715" s="22">
        <v>304</v>
      </c>
      <c r="J715" s="23">
        <v>2668</v>
      </c>
    </row>
    <row r="716" spans="1:10" x14ac:dyDescent="0.3">
      <c r="A716" s="20">
        <v>7007744171</v>
      </c>
      <c r="B716" s="21">
        <v>42475</v>
      </c>
      <c r="C716" s="22" t="s">
        <v>13</v>
      </c>
      <c r="D716" s="22">
        <v>5</v>
      </c>
      <c r="E716" s="22">
        <v>5273</v>
      </c>
      <c r="F716" s="22">
        <v>3.5299999713897701</v>
      </c>
      <c r="G716" s="22">
        <v>0</v>
      </c>
      <c r="H716" s="22">
        <v>0</v>
      </c>
      <c r="I716" s="22">
        <v>202</v>
      </c>
      <c r="J716" s="23">
        <v>2098</v>
      </c>
    </row>
    <row r="717" spans="1:10" x14ac:dyDescent="0.3">
      <c r="A717" s="20">
        <v>7007744171</v>
      </c>
      <c r="B717" s="21">
        <v>42476</v>
      </c>
      <c r="C717" s="22" t="s">
        <v>14</v>
      </c>
      <c r="D717" s="22">
        <v>6</v>
      </c>
      <c r="E717" s="22">
        <v>4631</v>
      </c>
      <c r="F717" s="22">
        <v>3.0999999046325701</v>
      </c>
      <c r="G717" s="22">
        <v>0</v>
      </c>
      <c r="H717" s="22">
        <v>0</v>
      </c>
      <c r="I717" s="22">
        <v>203</v>
      </c>
      <c r="J717" s="23">
        <v>2076</v>
      </c>
    </row>
    <row r="718" spans="1:10" x14ac:dyDescent="0.3">
      <c r="A718" s="20">
        <v>7007744171</v>
      </c>
      <c r="B718" s="21">
        <v>42477</v>
      </c>
      <c r="C718" s="22" t="s">
        <v>15</v>
      </c>
      <c r="D718" s="22">
        <v>0</v>
      </c>
      <c r="E718" s="22">
        <v>8059</v>
      </c>
      <c r="F718" s="22">
        <v>5.3899998664856001</v>
      </c>
      <c r="G718" s="22">
        <v>0</v>
      </c>
      <c r="H718" s="22">
        <v>0</v>
      </c>
      <c r="I718" s="22">
        <v>305</v>
      </c>
      <c r="J718" s="23">
        <v>2383</v>
      </c>
    </row>
    <row r="719" spans="1:10" x14ac:dyDescent="0.3">
      <c r="A719" s="20">
        <v>7007744171</v>
      </c>
      <c r="B719" s="21">
        <v>42478</v>
      </c>
      <c r="C719" s="22" t="s">
        <v>16</v>
      </c>
      <c r="D719" s="22">
        <v>1</v>
      </c>
      <c r="E719" s="22">
        <v>14816</v>
      </c>
      <c r="F719" s="22">
        <v>10.9799995422363</v>
      </c>
      <c r="G719" s="22">
        <v>48</v>
      </c>
      <c r="H719" s="22">
        <v>31</v>
      </c>
      <c r="I719" s="22">
        <v>284</v>
      </c>
      <c r="J719" s="23">
        <v>2832</v>
      </c>
    </row>
    <row r="720" spans="1:10" x14ac:dyDescent="0.3">
      <c r="A720" s="20">
        <v>7007744171</v>
      </c>
      <c r="B720" s="21">
        <v>42479</v>
      </c>
      <c r="C720" s="22" t="s">
        <v>10</v>
      </c>
      <c r="D720" s="22">
        <v>2</v>
      </c>
      <c r="E720" s="22">
        <v>14194</v>
      </c>
      <c r="F720" s="22">
        <v>10.4799995422363</v>
      </c>
      <c r="G720" s="22">
        <v>53</v>
      </c>
      <c r="H720" s="22">
        <v>17</v>
      </c>
      <c r="I720" s="22">
        <v>304</v>
      </c>
      <c r="J720" s="23">
        <v>2812</v>
      </c>
    </row>
    <row r="721" spans="1:10" x14ac:dyDescent="0.3">
      <c r="A721" s="20">
        <v>7007744171</v>
      </c>
      <c r="B721" s="21">
        <v>42480</v>
      </c>
      <c r="C721" s="22" t="s">
        <v>11</v>
      </c>
      <c r="D721" s="22">
        <v>3</v>
      </c>
      <c r="E721" s="22">
        <v>15566</v>
      </c>
      <c r="F721" s="22">
        <v>11.310000419616699</v>
      </c>
      <c r="G721" s="22">
        <v>60</v>
      </c>
      <c r="H721" s="22">
        <v>33</v>
      </c>
      <c r="I721" s="22">
        <v>347</v>
      </c>
      <c r="J721" s="23">
        <v>3096</v>
      </c>
    </row>
    <row r="722" spans="1:10" x14ac:dyDescent="0.3">
      <c r="A722" s="20">
        <v>7007744171</v>
      </c>
      <c r="B722" s="21">
        <v>42481</v>
      </c>
      <c r="C722" s="22" t="s">
        <v>12</v>
      </c>
      <c r="D722" s="22">
        <v>4</v>
      </c>
      <c r="E722" s="22">
        <v>13744</v>
      </c>
      <c r="F722" s="22">
        <v>9.1899995803833008</v>
      </c>
      <c r="G722" s="22">
        <v>30</v>
      </c>
      <c r="H722" s="22">
        <v>34</v>
      </c>
      <c r="I722" s="22">
        <v>327</v>
      </c>
      <c r="J722" s="23">
        <v>2763</v>
      </c>
    </row>
    <row r="723" spans="1:10" x14ac:dyDescent="0.3">
      <c r="A723" s="20">
        <v>7007744171</v>
      </c>
      <c r="B723" s="21">
        <v>42482</v>
      </c>
      <c r="C723" s="22" t="s">
        <v>13</v>
      </c>
      <c r="D723" s="22">
        <v>5</v>
      </c>
      <c r="E723" s="22">
        <v>15299</v>
      </c>
      <c r="F723" s="22">
        <v>10.2399997711182</v>
      </c>
      <c r="G723" s="22">
        <v>64</v>
      </c>
      <c r="H723" s="22">
        <v>50</v>
      </c>
      <c r="I723" s="22">
        <v>261</v>
      </c>
      <c r="J723" s="23">
        <v>2889</v>
      </c>
    </row>
    <row r="724" spans="1:10" x14ac:dyDescent="0.3">
      <c r="A724" s="20">
        <v>7007744171</v>
      </c>
      <c r="B724" s="21">
        <v>42483</v>
      </c>
      <c r="C724" s="22" t="s">
        <v>14</v>
      </c>
      <c r="D724" s="22">
        <v>6</v>
      </c>
      <c r="E724" s="22">
        <v>8093</v>
      </c>
      <c r="F724" s="22">
        <v>5.4099998474121103</v>
      </c>
      <c r="G724" s="22">
        <v>2</v>
      </c>
      <c r="H724" s="22">
        <v>25</v>
      </c>
      <c r="I724" s="22">
        <v>223</v>
      </c>
      <c r="J724" s="23">
        <v>2284</v>
      </c>
    </row>
    <row r="725" spans="1:10" x14ac:dyDescent="0.3">
      <c r="A725" s="20">
        <v>7007744171</v>
      </c>
      <c r="B725" s="21">
        <v>42484</v>
      </c>
      <c r="C725" s="22" t="s">
        <v>15</v>
      </c>
      <c r="D725" s="22">
        <v>0</v>
      </c>
      <c r="E725" s="22">
        <v>11085</v>
      </c>
      <c r="F725" s="22">
        <v>7.4200000762939498</v>
      </c>
      <c r="G725" s="22">
        <v>0</v>
      </c>
      <c r="H725" s="22">
        <v>0</v>
      </c>
      <c r="I725" s="22">
        <v>419</v>
      </c>
      <c r="J725" s="23">
        <v>2667</v>
      </c>
    </row>
    <row r="726" spans="1:10" x14ac:dyDescent="0.3">
      <c r="A726" s="20">
        <v>7007744171</v>
      </c>
      <c r="B726" s="21">
        <v>42485</v>
      </c>
      <c r="C726" s="22" t="s">
        <v>16</v>
      </c>
      <c r="D726" s="22">
        <v>1</v>
      </c>
      <c r="E726" s="22">
        <v>18229</v>
      </c>
      <c r="F726" s="22">
        <v>13.3400001525879</v>
      </c>
      <c r="G726" s="22">
        <v>51</v>
      </c>
      <c r="H726" s="22">
        <v>24</v>
      </c>
      <c r="I726" s="22">
        <v>379</v>
      </c>
      <c r="J726" s="23">
        <v>3055</v>
      </c>
    </row>
    <row r="727" spans="1:10" x14ac:dyDescent="0.3">
      <c r="A727" s="20">
        <v>7007744171</v>
      </c>
      <c r="B727" s="21">
        <v>42486</v>
      </c>
      <c r="C727" s="22" t="s">
        <v>10</v>
      </c>
      <c r="D727" s="22">
        <v>2</v>
      </c>
      <c r="E727" s="22">
        <v>15090</v>
      </c>
      <c r="F727" s="22">
        <v>10.1000003814697</v>
      </c>
      <c r="G727" s="22">
        <v>16</v>
      </c>
      <c r="H727" s="22">
        <v>22</v>
      </c>
      <c r="I727" s="22">
        <v>424</v>
      </c>
      <c r="J727" s="23">
        <v>2939</v>
      </c>
    </row>
    <row r="728" spans="1:10" x14ac:dyDescent="0.3">
      <c r="A728" s="20">
        <v>7007744171</v>
      </c>
      <c r="B728" s="21">
        <v>42487</v>
      </c>
      <c r="C728" s="22" t="s">
        <v>11</v>
      </c>
      <c r="D728" s="22">
        <v>3</v>
      </c>
      <c r="E728" s="22">
        <v>13541</v>
      </c>
      <c r="F728" s="22">
        <v>10.2200002670288</v>
      </c>
      <c r="G728" s="22">
        <v>50</v>
      </c>
      <c r="H728" s="22">
        <v>12</v>
      </c>
      <c r="I728" s="22">
        <v>337</v>
      </c>
      <c r="J728" s="23">
        <v>2830</v>
      </c>
    </row>
    <row r="729" spans="1:10" x14ac:dyDescent="0.3">
      <c r="A729" s="20">
        <v>7007744171</v>
      </c>
      <c r="B729" s="21">
        <v>42488</v>
      </c>
      <c r="C729" s="22" t="s">
        <v>12</v>
      </c>
      <c r="D729" s="22">
        <v>4</v>
      </c>
      <c r="E729" s="22">
        <v>15128</v>
      </c>
      <c r="F729" s="22">
        <v>10.1199998855591</v>
      </c>
      <c r="G729" s="22">
        <v>16</v>
      </c>
      <c r="H729" s="22">
        <v>16</v>
      </c>
      <c r="I729" s="22">
        <v>401</v>
      </c>
      <c r="J729" s="23">
        <v>2836</v>
      </c>
    </row>
    <row r="730" spans="1:10" x14ac:dyDescent="0.3">
      <c r="A730" s="20">
        <v>7007744171</v>
      </c>
      <c r="B730" s="21">
        <v>42489</v>
      </c>
      <c r="C730" s="22" t="s">
        <v>13</v>
      </c>
      <c r="D730" s="22">
        <v>5</v>
      </c>
      <c r="E730" s="22">
        <v>20067</v>
      </c>
      <c r="F730" s="22">
        <v>14.300000190734901</v>
      </c>
      <c r="G730" s="22">
        <v>55</v>
      </c>
      <c r="H730" s="22">
        <v>42</v>
      </c>
      <c r="I730" s="22">
        <v>382</v>
      </c>
      <c r="J730" s="23">
        <v>3180</v>
      </c>
    </row>
    <row r="731" spans="1:10" x14ac:dyDescent="0.3">
      <c r="A731" s="20">
        <v>7007744171</v>
      </c>
      <c r="B731" s="21">
        <v>42490</v>
      </c>
      <c r="C731" s="22" t="s">
        <v>14</v>
      </c>
      <c r="D731" s="22">
        <v>6</v>
      </c>
      <c r="E731" s="22">
        <v>3761</v>
      </c>
      <c r="F731" s="22">
        <v>2.5199999809265101</v>
      </c>
      <c r="G731" s="22">
        <v>0</v>
      </c>
      <c r="H731" s="22">
        <v>0</v>
      </c>
      <c r="I731" s="22">
        <v>200</v>
      </c>
      <c r="J731" s="23">
        <v>2051</v>
      </c>
    </row>
    <row r="732" spans="1:10" x14ac:dyDescent="0.3">
      <c r="A732" s="20">
        <v>7007744171</v>
      </c>
      <c r="B732" s="21">
        <v>42491</v>
      </c>
      <c r="C732" s="22" t="s">
        <v>15</v>
      </c>
      <c r="D732" s="22">
        <v>0</v>
      </c>
      <c r="E732" s="22">
        <v>5600</v>
      </c>
      <c r="F732" s="22">
        <v>3.75</v>
      </c>
      <c r="G732" s="22">
        <v>0</v>
      </c>
      <c r="H732" s="22">
        <v>0</v>
      </c>
      <c r="I732" s="22">
        <v>237</v>
      </c>
      <c r="J732" s="23">
        <v>2225</v>
      </c>
    </row>
    <row r="733" spans="1:10" x14ac:dyDescent="0.3">
      <c r="A733" s="20">
        <v>7007744171</v>
      </c>
      <c r="B733" s="21">
        <v>42492</v>
      </c>
      <c r="C733" s="22" t="s">
        <v>16</v>
      </c>
      <c r="D733" s="22">
        <v>1</v>
      </c>
      <c r="E733" s="22">
        <v>13041</v>
      </c>
      <c r="F733" s="22">
        <v>9.1800003051757795</v>
      </c>
      <c r="G733" s="22">
        <v>64</v>
      </c>
      <c r="H733" s="22">
        <v>14</v>
      </c>
      <c r="I733" s="22">
        <v>250</v>
      </c>
      <c r="J733" s="23">
        <v>2642</v>
      </c>
    </row>
    <row r="734" spans="1:10" x14ac:dyDescent="0.3">
      <c r="A734" s="20">
        <v>7007744171</v>
      </c>
      <c r="B734" s="21">
        <v>42493</v>
      </c>
      <c r="C734" s="22" t="s">
        <v>10</v>
      </c>
      <c r="D734" s="22">
        <v>2</v>
      </c>
      <c r="E734" s="22">
        <v>14510</v>
      </c>
      <c r="F734" s="22">
        <v>10.8699998855591</v>
      </c>
      <c r="G734" s="22">
        <v>58</v>
      </c>
      <c r="H734" s="22">
        <v>31</v>
      </c>
      <c r="I734" s="22">
        <v>330</v>
      </c>
      <c r="J734" s="23">
        <v>2976</v>
      </c>
    </row>
    <row r="735" spans="1:10" x14ac:dyDescent="0.3">
      <c r="A735" s="20">
        <v>7007744171</v>
      </c>
      <c r="B735" s="21">
        <v>42494</v>
      </c>
      <c r="C735" s="22" t="s">
        <v>11</v>
      </c>
      <c r="D735" s="22">
        <v>3</v>
      </c>
      <c r="E735" s="22">
        <v>0</v>
      </c>
      <c r="F735" s="22">
        <v>0</v>
      </c>
      <c r="G735" s="22">
        <v>0</v>
      </c>
      <c r="H735" s="22">
        <v>0</v>
      </c>
      <c r="I735" s="22">
        <v>0</v>
      </c>
      <c r="J735" s="23">
        <v>1557</v>
      </c>
    </row>
    <row r="736" spans="1:10" x14ac:dyDescent="0.3">
      <c r="A736" s="20">
        <v>7007744171</v>
      </c>
      <c r="B736" s="21">
        <v>42495</v>
      </c>
      <c r="C736" s="22" t="s">
        <v>12</v>
      </c>
      <c r="D736" s="22">
        <v>4</v>
      </c>
      <c r="E736" s="22">
        <v>15010</v>
      </c>
      <c r="F736" s="22">
        <v>11.1000003814697</v>
      </c>
      <c r="G736" s="22">
        <v>53</v>
      </c>
      <c r="H736" s="22">
        <v>23</v>
      </c>
      <c r="I736" s="22">
        <v>317</v>
      </c>
      <c r="J736" s="23">
        <v>2933</v>
      </c>
    </row>
    <row r="737" spans="1:10" x14ac:dyDescent="0.3">
      <c r="A737" s="20">
        <v>7007744171</v>
      </c>
      <c r="B737" s="21">
        <v>42496</v>
      </c>
      <c r="C737" s="22" t="s">
        <v>13</v>
      </c>
      <c r="D737" s="22">
        <v>5</v>
      </c>
      <c r="E737" s="22">
        <v>11459</v>
      </c>
      <c r="F737" s="22">
        <v>7.6700000762939498</v>
      </c>
      <c r="G737" s="22">
        <v>44</v>
      </c>
      <c r="H737" s="22">
        <v>13</v>
      </c>
      <c r="I737" s="22">
        <v>247</v>
      </c>
      <c r="J737" s="23">
        <v>2553</v>
      </c>
    </row>
    <row r="738" spans="1:10" x14ac:dyDescent="0.3">
      <c r="A738" s="20">
        <v>7007744171</v>
      </c>
      <c r="B738" s="21">
        <v>42497</v>
      </c>
      <c r="C738" s="22" t="s">
        <v>14</v>
      </c>
      <c r="D738" s="22">
        <v>6</v>
      </c>
      <c r="E738" s="22">
        <v>0</v>
      </c>
      <c r="F738" s="22">
        <v>0</v>
      </c>
      <c r="G738" s="22">
        <v>0</v>
      </c>
      <c r="H738" s="22">
        <v>0</v>
      </c>
      <c r="I738" s="22">
        <v>0</v>
      </c>
      <c r="J738" s="23">
        <v>120</v>
      </c>
    </row>
    <row r="739" spans="1:10" x14ac:dyDescent="0.3">
      <c r="A739" s="20">
        <v>7086361926</v>
      </c>
      <c r="B739" s="21">
        <v>42472</v>
      </c>
      <c r="C739" s="22" t="s">
        <v>10</v>
      </c>
      <c r="D739" s="22">
        <v>2</v>
      </c>
      <c r="E739" s="22">
        <v>11317</v>
      </c>
      <c r="F739" s="22">
        <v>8.4099998474121094</v>
      </c>
      <c r="G739" s="22">
        <v>59</v>
      </c>
      <c r="H739" s="22">
        <v>6</v>
      </c>
      <c r="I739" s="22">
        <v>153</v>
      </c>
      <c r="J739" s="23">
        <v>2772</v>
      </c>
    </row>
    <row r="740" spans="1:10" x14ac:dyDescent="0.3">
      <c r="A740" s="20">
        <v>7086361926</v>
      </c>
      <c r="B740" s="21">
        <v>42473</v>
      </c>
      <c r="C740" s="22" t="s">
        <v>11</v>
      </c>
      <c r="D740" s="22">
        <v>3</v>
      </c>
      <c r="E740" s="22">
        <v>5813</v>
      </c>
      <c r="F740" s="22">
        <v>3.6199998855590798</v>
      </c>
      <c r="G740" s="22">
        <v>31</v>
      </c>
      <c r="H740" s="22">
        <v>26</v>
      </c>
      <c r="I740" s="22">
        <v>155</v>
      </c>
      <c r="J740" s="23">
        <v>2516</v>
      </c>
    </row>
    <row r="741" spans="1:10" x14ac:dyDescent="0.3">
      <c r="A741" s="20">
        <v>7086361926</v>
      </c>
      <c r="B741" s="21">
        <v>42474</v>
      </c>
      <c r="C741" s="22" t="s">
        <v>12</v>
      </c>
      <c r="D741" s="22">
        <v>4</v>
      </c>
      <c r="E741" s="22">
        <v>9123</v>
      </c>
      <c r="F741" s="22">
        <v>6.1199998855590803</v>
      </c>
      <c r="G741" s="22">
        <v>35</v>
      </c>
      <c r="H741" s="22">
        <v>32</v>
      </c>
      <c r="I741" s="22">
        <v>189</v>
      </c>
      <c r="J741" s="23">
        <v>2734</v>
      </c>
    </row>
    <row r="742" spans="1:10" x14ac:dyDescent="0.3">
      <c r="A742" s="20">
        <v>7086361926</v>
      </c>
      <c r="B742" s="21">
        <v>42475</v>
      </c>
      <c r="C742" s="22" t="s">
        <v>13</v>
      </c>
      <c r="D742" s="22">
        <v>5</v>
      </c>
      <c r="E742" s="22">
        <v>8585</v>
      </c>
      <c r="F742" s="22">
        <v>5.6700000762939498</v>
      </c>
      <c r="G742" s="22">
        <v>30</v>
      </c>
      <c r="H742" s="22">
        <v>21</v>
      </c>
      <c r="I742" s="22">
        <v>139</v>
      </c>
      <c r="J742" s="23">
        <v>2395</v>
      </c>
    </row>
    <row r="743" spans="1:10" x14ac:dyDescent="0.3">
      <c r="A743" s="20">
        <v>7086361926</v>
      </c>
      <c r="B743" s="21">
        <v>42476</v>
      </c>
      <c r="C743" s="22" t="s">
        <v>14</v>
      </c>
      <c r="D743" s="22">
        <v>6</v>
      </c>
      <c r="E743" s="22">
        <v>31</v>
      </c>
      <c r="F743" s="22">
        <v>9.9999997764825804E-3</v>
      </c>
      <c r="G743" s="22">
        <v>0</v>
      </c>
      <c r="H743" s="22">
        <v>0</v>
      </c>
      <c r="I743" s="22">
        <v>3</v>
      </c>
      <c r="J743" s="23">
        <v>1635</v>
      </c>
    </row>
    <row r="744" spans="1:10" x14ac:dyDescent="0.3">
      <c r="A744" s="20">
        <v>7086361926</v>
      </c>
      <c r="B744" s="21">
        <v>42477</v>
      </c>
      <c r="C744" s="22" t="s">
        <v>15</v>
      </c>
      <c r="D744" s="22">
        <v>0</v>
      </c>
      <c r="E744" s="22">
        <v>0</v>
      </c>
      <c r="F744" s="22">
        <v>0</v>
      </c>
      <c r="G744" s="22">
        <v>0</v>
      </c>
      <c r="H744" s="22">
        <v>0</v>
      </c>
      <c r="I744" s="22">
        <v>0</v>
      </c>
      <c r="J744" s="23">
        <v>1629</v>
      </c>
    </row>
    <row r="745" spans="1:10" x14ac:dyDescent="0.3">
      <c r="A745" s="20">
        <v>7086361926</v>
      </c>
      <c r="B745" s="21">
        <v>42478</v>
      </c>
      <c r="C745" s="22" t="s">
        <v>16</v>
      </c>
      <c r="D745" s="22">
        <v>1</v>
      </c>
      <c r="E745" s="22">
        <v>9827</v>
      </c>
      <c r="F745" s="22">
        <v>6.71000003814697</v>
      </c>
      <c r="G745" s="22">
        <v>61</v>
      </c>
      <c r="H745" s="22">
        <v>51</v>
      </c>
      <c r="I745" s="22">
        <v>114</v>
      </c>
      <c r="J745" s="23">
        <v>2743</v>
      </c>
    </row>
    <row r="746" spans="1:10" x14ac:dyDescent="0.3">
      <c r="A746" s="20">
        <v>7086361926</v>
      </c>
      <c r="B746" s="21">
        <v>42479</v>
      </c>
      <c r="C746" s="22" t="s">
        <v>10</v>
      </c>
      <c r="D746" s="22">
        <v>2</v>
      </c>
      <c r="E746" s="22">
        <v>10688</v>
      </c>
      <c r="F746" s="22">
        <v>7.28999996185303</v>
      </c>
      <c r="G746" s="22">
        <v>67</v>
      </c>
      <c r="H746" s="22">
        <v>69</v>
      </c>
      <c r="I746" s="22">
        <v>124</v>
      </c>
      <c r="J746" s="23">
        <v>2944</v>
      </c>
    </row>
    <row r="747" spans="1:10" x14ac:dyDescent="0.3">
      <c r="A747" s="20">
        <v>7086361926</v>
      </c>
      <c r="B747" s="21">
        <v>42480</v>
      </c>
      <c r="C747" s="22" t="s">
        <v>11</v>
      </c>
      <c r="D747" s="22">
        <v>3</v>
      </c>
      <c r="E747" s="22">
        <v>14365</v>
      </c>
      <c r="F747" s="22">
        <v>10.6400003433228</v>
      </c>
      <c r="G747" s="22">
        <v>87</v>
      </c>
      <c r="H747" s="22">
        <v>13</v>
      </c>
      <c r="I747" s="22">
        <v>145</v>
      </c>
      <c r="J747" s="23">
        <v>2997</v>
      </c>
    </row>
    <row r="748" spans="1:10" x14ac:dyDescent="0.3">
      <c r="A748" s="20">
        <v>7086361926</v>
      </c>
      <c r="B748" s="21">
        <v>42481</v>
      </c>
      <c r="C748" s="22" t="s">
        <v>12</v>
      </c>
      <c r="D748" s="22">
        <v>4</v>
      </c>
      <c r="E748" s="22">
        <v>9469</v>
      </c>
      <c r="F748" s="22">
        <v>6.1799998283386204</v>
      </c>
      <c r="G748" s="22">
        <v>19</v>
      </c>
      <c r="H748" s="22">
        <v>6</v>
      </c>
      <c r="I748" s="22">
        <v>206</v>
      </c>
      <c r="J748" s="23">
        <v>2463</v>
      </c>
    </row>
    <row r="749" spans="1:10" x14ac:dyDescent="0.3">
      <c r="A749" s="20">
        <v>7086361926</v>
      </c>
      <c r="B749" s="21">
        <v>42482</v>
      </c>
      <c r="C749" s="22" t="s">
        <v>13</v>
      </c>
      <c r="D749" s="22">
        <v>5</v>
      </c>
      <c r="E749" s="22">
        <v>9753</v>
      </c>
      <c r="F749" s="22">
        <v>6.5300002098083496</v>
      </c>
      <c r="G749" s="22">
        <v>58</v>
      </c>
      <c r="H749" s="22">
        <v>59</v>
      </c>
      <c r="I749" s="22">
        <v>153</v>
      </c>
      <c r="J749" s="23">
        <v>2846</v>
      </c>
    </row>
    <row r="750" spans="1:10" x14ac:dyDescent="0.3">
      <c r="A750" s="20">
        <v>7086361926</v>
      </c>
      <c r="B750" s="21">
        <v>42483</v>
      </c>
      <c r="C750" s="22" t="s">
        <v>14</v>
      </c>
      <c r="D750" s="22">
        <v>6</v>
      </c>
      <c r="E750" s="22">
        <v>2817</v>
      </c>
      <c r="F750" s="22">
        <v>1.8099999427795399</v>
      </c>
      <c r="G750" s="22">
        <v>0</v>
      </c>
      <c r="H750" s="22">
        <v>0</v>
      </c>
      <c r="I750" s="22">
        <v>90</v>
      </c>
      <c r="J750" s="23">
        <v>1965</v>
      </c>
    </row>
    <row r="751" spans="1:10" x14ac:dyDescent="0.3">
      <c r="A751" s="20">
        <v>7086361926</v>
      </c>
      <c r="B751" s="21">
        <v>42484</v>
      </c>
      <c r="C751" s="22" t="s">
        <v>15</v>
      </c>
      <c r="D751" s="22">
        <v>0</v>
      </c>
      <c r="E751" s="22">
        <v>3520</v>
      </c>
      <c r="F751" s="22">
        <v>2.1600000858306898</v>
      </c>
      <c r="G751" s="22">
        <v>0</v>
      </c>
      <c r="H751" s="22">
        <v>0</v>
      </c>
      <c r="I751" s="22">
        <v>125</v>
      </c>
      <c r="J751" s="23">
        <v>2049</v>
      </c>
    </row>
    <row r="752" spans="1:10" x14ac:dyDescent="0.3">
      <c r="A752" s="20">
        <v>7086361926</v>
      </c>
      <c r="B752" s="21">
        <v>42485</v>
      </c>
      <c r="C752" s="22" t="s">
        <v>16</v>
      </c>
      <c r="D752" s="22">
        <v>1</v>
      </c>
      <c r="E752" s="22">
        <v>10091</v>
      </c>
      <c r="F752" s="22">
        <v>6.8200001716613796</v>
      </c>
      <c r="G752" s="22">
        <v>69</v>
      </c>
      <c r="H752" s="22">
        <v>39</v>
      </c>
      <c r="I752" s="22">
        <v>129</v>
      </c>
      <c r="J752" s="23">
        <v>2752</v>
      </c>
    </row>
    <row r="753" spans="1:10" x14ac:dyDescent="0.3">
      <c r="A753" s="20">
        <v>7086361926</v>
      </c>
      <c r="B753" s="21">
        <v>42486</v>
      </c>
      <c r="C753" s="22" t="s">
        <v>10</v>
      </c>
      <c r="D753" s="22">
        <v>2</v>
      </c>
      <c r="E753" s="22">
        <v>10387</v>
      </c>
      <c r="F753" s="22">
        <v>7.0700001716613796</v>
      </c>
      <c r="G753" s="22">
        <v>70</v>
      </c>
      <c r="H753" s="22">
        <v>33</v>
      </c>
      <c r="I753" s="22">
        <v>132</v>
      </c>
      <c r="J753" s="23">
        <v>2781</v>
      </c>
    </row>
    <row r="754" spans="1:10" x14ac:dyDescent="0.3">
      <c r="A754" s="20">
        <v>7086361926</v>
      </c>
      <c r="B754" s="21">
        <v>42487</v>
      </c>
      <c r="C754" s="22" t="s">
        <v>11</v>
      </c>
      <c r="D754" s="22">
        <v>3</v>
      </c>
      <c r="E754" s="22">
        <v>11107</v>
      </c>
      <c r="F754" s="22">
        <v>8.3400001525878906</v>
      </c>
      <c r="G754" s="22">
        <v>55</v>
      </c>
      <c r="H754" s="22">
        <v>6</v>
      </c>
      <c r="I754" s="22">
        <v>145</v>
      </c>
      <c r="J754" s="23">
        <v>2693</v>
      </c>
    </row>
    <row r="755" spans="1:10" x14ac:dyDescent="0.3">
      <c r="A755" s="20">
        <v>7086361926</v>
      </c>
      <c r="B755" s="21">
        <v>42488</v>
      </c>
      <c r="C755" s="22" t="s">
        <v>12</v>
      </c>
      <c r="D755" s="22">
        <v>4</v>
      </c>
      <c r="E755" s="22">
        <v>11584</v>
      </c>
      <c r="F755" s="22">
        <v>7.8000001907348597</v>
      </c>
      <c r="G755" s="22">
        <v>54</v>
      </c>
      <c r="H755" s="22">
        <v>48</v>
      </c>
      <c r="I755" s="22">
        <v>161</v>
      </c>
      <c r="J755" s="23">
        <v>2862</v>
      </c>
    </row>
    <row r="756" spans="1:10" x14ac:dyDescent="0.3">
      <c r="A756" s="20">
        <v>7086361926</v>
      </c>
      <c r="B756" s="21">
        <v>42489</v>
      </c>
      <c r="C756" s="22" t="s">
        <v>13</v>
      </c>
      <c r="D756" s="22">
        <v>5</v>
      </c>
      <c r="E756" s="22">
        <v>7881</v>
      </c>
      <c r="F756" s="22">
        <v>4.9499998092651403</v>
      </c>
      <c r="G756" s="22">
        <v>24</v>
      </c>
      <c r="H756" s="22">
        <v>36</v>
      </c>
      <c r="I756" s="22">
        <v>182</v>
      </c>
      <c r="J756" s="23">
        <v>2616</v>
      </c>
    </row>
    <row r="757" spans="1:10" x14ac:dyDescent="0.3">
      <c r="A757" s="20">
        <v>7086361926</v>
      </c>
      <c r="B757" s="21">
        <v>42490</v>
      </c>
      <c r="C757" s="22" t="s">
        <v>14</v>
      </c>
      <c r="D757" s="22">
        <v>6</v>
      </c>
      <c r="E757" s="22">
        <v>14560</v>
      </c>
      <c r="F757" s="22">
        <v>9.4099998474121094</v>
      </c>
      <c r="G757" s="22">
        <v>42</v>
      </c>
      <c r="H757" s="22">
        <v>17</v>
      </c>
      <c r="I757" s="22">
        <v>308</v>
      </c>
      <c r="J757" s="23">
        <v>2995</v>
      </c>
    </row>
    <row r="758" spans="1:10" x14ac:dyDescent="0.3">
      <c r="A758" s="20">
        <v>7086361926</v>
      </c>
      <c r="B758" s="21">
        <v>42491</v>
      </c>
      <c r="C758" s="22" t="s">
        <v>15</v>
      </c>
      <c r="D758" s="22">
        <v>0</v>
      </c>
      <c r="E758" s="22">
        <v>12390</v>
      </c>
      <c r="F758" s="22">
        <v>8.0699996948242205</v>
      </c>
      <c r="G758" s="22">
        <v>30</v>
      </c>
      <c r="H758" s="22">
        <v>15</v>
      </c>
      <c r="I758" s="22">
        <v>258</v>
      </c>
      <c r="J758" s="23">
        <v>2730</v>
      </c>
    </row>
    <row r="759" spans="1:10" x14ac:dyDescent="0.3">
      <c r="A759" s="20">
        <v>7086361926</v>
      </c>
      <c r="B759" s="21">
        <v>42492</v>
      </c>
      <c r="C759" s="22" t="s">
        <v>16</v>
      </c>
      <c r="D759" s="22">
        <v>1</v>
      </c>
      <c r="E759" s="22">
        <v>10052</v>
      </c>
      <c r="F759" s="22">
        <v>6.8099999427795401</v>
      </c>
      <c r="G759" s="22">
        <v>66</v>
      </c>
      <c r="H759" s="22">
        <v>26</v>
      </c>
      <c r="I759" s="22">
        <v>139</v>
      </c>
      <c r="J759" s="23">
        <v>2754</v>
      </c>
    </row>
    <row r="760" spans="1:10" x14ac:dyDescent="0.3">
      <c r="A760" s="20">
        <v>7086361926</v>
      </c>
      <c r="B760" s="21">
        <v>42493</v>
      </c>
      <c r="C760" s="22" t="s">
        <v>10</v>
      </c>
      <c r="D760" s="22">
        <v>2</v>
      </c>
      <c r="E760" s="22">
        <v>10288</v>
      </c>
      <c r="F760" s="22">
        <v>6.7600002288818404</v>
      </c>
      <c r="G760" s="22">
        <v>57</v>
      </c>
      <c r="H760" s="22">
        <v>36</v>
      </c>
      <c r="I760" s="22">
        <v>152</v>
      </c>
      <c r="J760" s="23">
        <v>2754</v>
      </c>
    </row>
    <row r="761" spans="1:10" x14ac:dyDescent="0.3">
      <c r="A761" s="20">
        <v>7086361926</v>
      </c>
      <c r="B761" s="21">
        <v>42494</v>
      </c>
      <c r="C761" s="22" t="s">
        <v>11</v>
      </c>
      <c r="D761" s="22">
        <v>3</v>
      </c>
      <c r="E761" s="22">
        <v>10988</v>
      </c>
      <c r="F761" s="22">
        <v>8.3100004196166992</v>
      </c>
      <c r="G761" s="22">
        <v>45</v>
      </c>
      <c r="H761" s="22">
        <v>12</v>
      </c>
      <c r="I761" s="22">
        <v>135</v>
      </c>
      <c r="J761" s="23">
        <v>2655</v>
      </c>
    </row>
    <row r="762" spans="1:10" x14ac:dyDescent="0.3">
      <c r="A762" s="20">
        <v>7086361926</v>
      </c>
      <c r="B762" s="21">
        <v>42495</v>
      </c>
      <c r="C762" s="22" t="s">
        <v>12</v>
      </c>
      <c r="D762" s="22">
        <v>4</v>
      </c>
      <c r="E762" s="22">
        <v>8564</v>
      </c>
      <c r="F762" s="22">
        <v>5.5999999046325701</v>
      </c>
      <c r="G762" s="22">
        <v>24</v>
      </c>
      <c r="H762" s="22">
        <v>14</v>
      </c>
      <c r="I762" s="22">
        <v>149</v>
      </c>
      <c r="J762" s="23">
        <v>2386</v>
      </c>
    </row>
    <row r="763" spans="1:10" x14ac:dyDescent="0.3">
      <c r="A763" s="20">
        <v>7086361926</v>
      </c>
      <c r="B763" s="21">
        <v>42496</v>
      </c>
      <c r="C763" s="22" t="s">
        <v>13</v>
      </c>
      <c r="D763" s="22">
        <v>5</v>
      </c>
      <c r="E763" s="22">
        <v>12461</v>
      </c>
      <c r="F763" s="22">
        <v>8.3800001144409197</v>
      </c>
      <c r="G763" s="22">
        <v>84</v>
      </c>
      <c r="H763" s="22">
        <v>35</v>
      </c>
      <c r="I763" s="22">
        <v>154</v>
      </c>
      <c r="J763" s="23">
        <v>2924</v>
      </c>
    </row>
    <row r="764" spans="1:10" x14ac:dyDescent="0.3">
      <c r="A764" s="20">
        <v>7086361926</v>
      </c>
      <c r="B764" s="21">
        <v>42497</v>
      </c>
      <c r="C764" s="22" t="s">
        <v>14</v>
      </c>
      <c r="D764" s="22">
        <v>6</v>
      </c>
      <c r="E764" s="22">
        <v>12827</v>
      </c>
      <c r="F764" s="22">
        <v>8.4799995422363299</v>
      </c>
      <c r="G764" s="22">
        <v>20</v>
      </c>
      <c r="H764" s="22">
        <v>42</v>
      </c>
      <c r="I764" s="22">
        <v>209</v>
      </c>
      <c r="J764" s="23">
        <v>2739</v>
      </c>
    </row>
    <row r="765" spans="1:10" x14ac:dyDescent="0.3">
      <c r="A765" s="20">
        <v>7086361926</v>
      </c>
      <c r="B765" s="21">
        <v>42498</v>
      </c>
      <c r="C765" s="22" t="s">
        <v>15</v>
      </c>
      <c r="D765" s="22">
        <v>0</v>
      </c>
      <c r="E765" s="22">
        <v>10677</v>
      </c>
      <c r="F765" s="22">
        <v>7.0999999046325701</v>
      </c>
      <c r="G765" s="22">
        <v>32</v>
      </c>
      <c r="H765" s="22">
        <v>27</v>
      </c>
      <c r="I765" s="22">
        <v>147</v>
      </c>
      <c r="J765" s="23">
        <v>2534</v>
      </c>
    </row>
    <row r="766" spans="1:10" x14ac:dyDescent="0.3">
      <c r="A766" s="20">
        <v>7086361926</v>
      </c>
      <c r="B766" s="21">
        <v>42499</v>
      </c>
      <c r="C766" s="22" t="s">
        <v>16</v>
      </c>
      <c r="D766" s="22">
        <v>1</v>
      </c>
      <c r="E766" s="22">
        <v>13566</v>
      </c>
      <c r="F766" s="22">
        <v>9.1099996566772496</v>
      </c>
      <c r="G766" s="22">
        <v>67</v>
      </c>
      <c r="H766" s="22">
        <v>50</v>
      </c>
      <c r="I766" s="22">
        <v>171</v>
      </c>
      <c r="J766" s="23">
        <v>2960</v>
      </c>
    </row>
    <row r="767" spans="1:10" x14ac:dyDescent="0.3">
      <c r="A767" s="20">
        <v>7086361926</v>
      </c>
      <c r="B767" s="21">
        <v>42500</v>
      </c>
      <c r="C767" s="22" t="s">
        <v>10</v>
      </c>
      <c r="D767" s="22">
        <v>2</v>
      </c>
      <c r="E767" s="22">
        <v>14433</v>
      </c>
      <c r="F767" s="22">
        <v>10.789999961853001</v>
      </c>
      <c r="G767" s="22">
        <v>72</v>
      </c>
      <c r="H767" s="22">
        <v>23</v>
      </c>
      <c r="I767" s="22">
        <v>106</v>
      </c>
      <c r="J767" s="23">
        <v>2800</v>
      </c>
    </row>
    <row r="768" spans="1:10" x14ac:dyDescent="0.3">
      <c r="A768" s="20">
        <v>7086361926</v>
      </c>
      <c r="B768" s="21">
        <v>42501</v>
      </c>
      <c r="C768" s="22" t="s">
        <v>11</v>
      </c>
      <c r="D768" s="22">
        <v>3</v>
      </c>
      <c r="E768" s="22">
        <v>9572</v>
      </c>
      <c r="F768" s="22">
        <v>6.5199999809265101</v>
      </c>
      <c r="G768" s="22">
        <v>57</v>
      </c>
      <c r="H768" s="22">
        <v>40</v>
      </c>
      <c r="I768" s="22">
        <v>128</v>
      </c>
      <c r="J768" s="23">
        <v>2735</v>
      </c>
    </row>
    <row r="769" spans="1:10" x14ac:dyDescent="0.3">
      <c r="A769" s="20">
        <v>7086361926</v>
      </c>
      <c r="B769" s="21">
        <v>42502</v>
      </c>
      <c r="C769" s="22" t="s">
        <v>12</v>
      </c>
      <c r="D769" s="22">
        <v>4</v>
      </c>
      <c r="E769" s="22">
        <v>3789</v>
      </c>
      <c r="F769" s="22">
        <v>2.5599999427795401</v>
      </c>
      <c r="G769" s="22">
        <v>5</v>
      </c>
      <c r="H769" s="22">
        <v>4</v>
      </c>
      <c r="I769" s="22">
        <v>58</v>
      </c>
      <c r="J769" s="23">
        <v>1199</v>
      </c>
    </row>
    <row r="770" spans="1:10" x14ac:dyDescent="0.3">
      <c r="A770" s="20">
        <v>8053475328</v>
      </c>
      <c r="B770" s="21">
        <v>42472</v>
      </c>
      <c r="C770" s="22" t="s">
        <v>10</v>
      </c>
      <c r="D770" s="22">
        <v>2</v>
      </c>
      <c r="E770" s="22">
        <v>18060</v>
      </c>
      <c r="F770" s="22">
        <v>14.1199998855591</v>
      </c>
      <c r="G770" s="22">
        <v>116</v>
      </c>
      <c r="H770" s="22">
        <v>8</v>
      </c>
      <c r="I770" s="22">
        <v>123</v>
      </c>
      <c r="J770" s="23">
        <v>3186</v>
      </c>
    </row>
    <row r="771" spans="1:10" x14ac:dyDescent="0.3">
      <c r="A771" s="20">
        <v>8053475328</v>
      </c>
      <c r="B771" s="21">
        <v>42473</v>
      </c>
      <c r="C771" s="22" t="s">
        <v>11</v>
      </c>
      <c r="D771" s="22">
        <v>3</v>
      </c>
      <c r="E771" s="22">
        <v>16433</v>
      </c>
      <c r="F771" s="22">
        <v>13.3500003814697</v>
      </c>
      <c r="G771" s="22">
        <v>95</v>
      </c>
      <c r="H771" s="22">
        <v>12</v>
      </c>
      <c r="I771" s="22">
        <v>156</v>
      </c>
      <c r="J771" s="23">
        <v>3140</v>
      </c>
    </row>
    <row r="772" spans="1:10" x14ac:dyDescent="0.3">
      <c r="A772" s="20">
        <v>8053475328</v>
      </c>
      <c r="B772" s="21">
        <v>42474</v>
      </c>
      <c r="C772" s="22" t="s">
        <v>12</v>
      </c>
      <c r="D772" s="22">
        <v>4</v>
      </c>
      <c r="E772" s="22">
        <v>20159</v>
      </c>
      <c r="F772" s="22">
        <v>15.9700002670288</v>
      </c>
      <c r="G772" s="22">
        <v>119</v>
      </c>
      <c r="H772" s="22">
        <v>5</v>
      </c>
      <c r="I772" s="22">
        <v>193</v>
      </c>
      <c r="J772" s="23">
        <v>3411</v>
      </c>
    </row>
    <row r="773" spans="1:10" x14ac:dyDescent="0.3">
      <c r="A773" s="20">
        <v>8053475328</v>
      </c>
      <c r="B773" s="21">
        <v>42475</v>
      </c>
      <c r="C773" s="22" t="s">
        <v>13</v>
      </c>
      <c r="D773" s="22">
        <v>5</v>
      </c>
      <c r="E773" s="22">
        <v>20669</v>
      </c>
      <c r="F773" s="22">
        <v>16.2399997711182</v>
      </c>
      <c r="G773" s="22">
        <v>132</v>
      </c>
      <c r="H773" s="22">
        <v>8</v>
      </c>
      <c r="I773" s="22">
        <v>158</v>
      </c>
      <c r="J773" s="23">
        <v>3410</v>
      </c>
    </row>
    <row r="774" spans="1:10" x14ac:dyDescent="0.3">
      <c r="A774" s="20">
        <v>8053475328</v>
      </c>
      <c r="B774" s="21">
        <v>42476</v>
      </c>
      <c r="C774" s="22" t="s">
        <v>14</v>
      </c>
      <c r="D774" s="22">
        <v>6</v>
      </c>
      <c r="E774" s="22">
        <v>14549</v>
      </c>
      <c r="F774" s="22">
        <v>11.1099996566772</v>
      </c>
      <c r="G774" s="22">
        <v>96</v>
      </c>
      <c r="H774" s="22">
        <v>6</v>
      </c>
      <c r="I774" s="22">
        <v>83</v>
      </c>
      <c r="J774" s="23">
        <v>2867</v>
      </c>
    </row>
    <row r="775" spans="1:10" x14ac:dyDescent="0.3">
      <c r="A775" s="20">
        <v>8053475328</v>
      </c>
      <c r="B775" s="21">
        <v>42477</v>
      </c>
      <c r="C775" s="22" t="s">
        <v>15</v>
      </c>
      <c r="D775" s="22">
        <v>0</v>
      </c>
      <c r="E775" s="22">
        <v>18827</v>
      </c>
      <c r="F775" s="22">
        <v>13.689999580383301</v>
      </c>
      <c r="G775" s="22">
        <v>111</v>
      </c>
      <c r="H775" s="22">
        <v>21</v>
      </c>
      <c r="I775" s="22">
        <v>195</v>
      </c>
      <c r="J775" s="23">
        <v>3213</v>
      </c>
    </row>
    <row r="776" spans="1:10" x14ac:dyDescent="0.3">
      <c r="A776" s="20">
        <v>8053475328</v>
      </c>
      <c r="B776" s="21">
        <v>42478</v>
      </c>
      <c r="C776" s="22" t="s">
        <v>16</v>
      </c>
      <c r="D776" s="22">
        <v>1</v>
      </c>
      <c r="E776" s="22">
        <v>17076</v>
      </c>
      <c r="F776" s="22">
        <v>12.6599998474121</v>
      </c>
      <c r="G776" s="22">
        <v>102</v>
      </c>
      <c r="H776" s="22">
        <v>6</v>
      </c>
      <c r="I776" s="22">
        <v>195</v>
      </c>
      <c r="J776" s="23">
        <v>3133</v>
      </c>
    </row>
    <row r="777" spans="1:10" x14ac:dyDescent="0.3">
      <c r="A777" s="20">
        <v>8053475328</v>
      </c>
      <c r="B777" s="21">
        <v>42479</v>
      </c>
      <c r="C777" s="22" t="s">
        <v>10</v>
      </c>
      <c r="D777" s="22">
        <v>2</v>
      </c>
      <c r="E777" s="22">
        <v>15929</v>
      </c>
      <c r="F777" s="22">
        <v>12.4799995422363</v>
      </c>
      <c r="G777" s="22">
        <v>90</v>
      </c>
      <c r="H777" s="22">
        <v>7</v>
      </c>
      <c r="I777" s="22">
        <v>191</v>
      </c>
      <c r="J777" s="23">
        <v>3114</v>
      </c>
    </row>
    <row r="778" spans="1:10" x14ac:dyDescent="0.3">
      <c r="A778" s="20">
        <v>8053475328</v>
      </c>
      <c r="B778" s="21">
        <v>42480</v>
      </c>
      <c r="C778" s="22" t="s">
        <v>11</v>
      </c>
      <c r="D778" s="22">
        <v>3</v>
      </c>
      <c r="E778" s="22">
        <v>15108</v>
      </c>
      <c r="F778" s="22">
        <v>12.189999580383301</v>
      </c>
      <c r="G778" s="22">
        <v>89</v>
      </c>
      <c r="H778" s="22">
        <v>5</v>
      </c>
      <c r="I778" s="22">
        <v>158</v>
      </c>
      <c r="J778" s="23">
        <v>3043</v>
      </c>
    </row>
    <row r="779" spans="1:10" x14ac:dyDescent="0.3">
      <c r="A779" s="20">
        <v>8053475328</v>
      </c>
      <c r="B779" s="21">
        <v>42481</v>
      </c>
      <c r="C779" s="22" t="s">
        <v>12</v>
      </c>
      <c r="D779" s="22">
        <v>4</v>
      </c>
      <c r="E779" s="22">
        <v>16057</v>
      </c>
      <c r="F779" s="22">
        <v>12.5100002288818</v>
      </c>
      <c r="G779" s="22">
        <v>100</v>
      </c>
      <c r="H779" s="22">
        <v>6</v>
      </c>
      <c r="I779" s="22">
        <v>170</v>
      </c>
      <c r="J779" s="23">
        <v>3103</v>
      </c>
    </row>
    <row r="780" spans="1:10" x14ac:dyDescent="0.3">
      <c r="A780" s="20">
        <v>8053475328</v>
      </c>
      <c r="B780" s="21">
        <v>42482</v>
      </c>
      <c r="C780" s="22" t="s">
        <v>13</v>
      </c>
      <c r="D780" s="22">
        <v>5</v>
      </c>
      <c r="E780" s="22">
        <v>10520</v>
      </c>
      <c r="F780" s="22">
        <v>8.2899999618530291</v>
      </c>
      <c r="G780" s="22">
        <v>60</v>
      </c>
      <c r="H780" s="22">
        <v>3</v>
      </c>
      <c r="I780" s="22">
        <v>117</v>
      </c>
      <c r="J780" s="23">
        <v>2655</v>
      </c>
    </row>
    <row r="781" spans="1:10" x14ac:dyDescent="0.3">
      <c r="A781" s="20">
        <v>8053475328</v>
      </c>
      <c r="B781" s="21">
        <v>42483</v>
      </c>
      <c r="C781" s="22" t="s">
        <v>14</v>
      </c>
      <c r="D781" s="22">
        <v>6</v>
      </c>
      <c r="E781" s="22">
        <v>22359</v>
      </c>
      <c r="F781" s="22">
        <v>17.190000534057599</v>
      </c>
      <c r="G781" s="22">
        <v>125</v>
      </c>
      <c r="H781" s="22">
        <v>14</v>
      </c>
      <c r="I781" s="22">
        <v>223</v>
      </c>
      <c r="J781" s="23">
        <v>3554</v>
      </c>
    </row>
    <row r="782" spans="1:10" x14ac:dyDescent="0.3">
      <c r="A782" s="20">
        <v>8053475328</v>
      </c>
      <c r="B782" s="21">
        <v>42484</v>
      </c>
      <c r="C782" s="22" t="s">
        <v>15</v>
      </c>
      <c r="D782" s="22">
        <v>0</v>
      </c>
      <c r="E782" s="22">
        <v>22988</v>
      </c>
      <c r="F782" s="22">
        <v>17.950000762939499</v>
      </c>
      <c r="G782" s="22">
        <v>129</v>
      </c>
      <c r="H782" s="22">
        <v>33</v>
      </c>
      <c r="I782" s="22">
        <v>182</v>
      </c>
      <c r="J782" s="23">
        <v>3577</v>
      </c>
    </row>
    <row r="783" spans="1:10" x14ac:dyDescent="0.3">
      <c r="A783" s="20">
        <v>8053475328</v>
      </c>
      <c r="B783" s="21">
        <v>42485</v>
      </c>
      <c r="C783" s="22" t="s">
        <v>16</v>
      </c>
      <c r="D783" s="22">
        <v>1</v>
      </c>
      <c r="E783" s="22">
        <v>20500</v>
      </c>
      <c r="F783" s="22">
        <v>15.689999580383301</v>
      </c>
      <c r="G783" s="22">
        <v>118</v>
      </c>
      <c r="H783" s="22">
        <v>9</v>
      </c>
      <c r="I783" s="22">
        <v>209</v>
      </c>
      <c r="J783" s="23">
        <v>3403</v>
      </c>
    </row>
    <row r="784" spans="1:10" x14ac:dyDescent="0.3">
      <c r="A784" s="20">
        <v>8053475328</v>
      </c>
      <c r="B784" s="21">
        <v>42486</v>
      </c>
      <c r="C784" s="22" t="s">
        <v>10</v>
      </c>
      <c r="D784" s="22">
        <v>2</v>
      </c>
      <c r="E784" s="22">
        <v>12685</v>
      </c>
      <c r="F784" s="22">
        <v>9.6199998855590803</v>
      </c>
      <c r="G784" s="22">
        <v>68</v>
      </c>
      <c r="H784" s="22">
        <v>5</v>
      </c>
      <c r="I784" s="22">
        <v>185</v>
      </c>
      <c r="J784" s="23">
        <v>2846</v>
      </c>
    </row>
    <row r="785" spans="1:10" x14ac:dyDescent="0.3">
      <c r="A785" s="20">
        <v>8053475328</v>
      </c>
      <c r="B785" s="21">
        <v>42487</v>
      </c>
      <c r="C785" s="22" t="s">
        <v>11</v>
      </c>
      <c r="D785" s="22">
        <v>3</v>
      </c>
      <c r="E785" s="22">
        <v>12422</v>
      </c>
      <c r="F785" s="22">
        <v>9.8199996948242205</v>
      </c>
      <c r="G785" s="22">
        <v>60</v>
      </c>
      <c r="H785" s="22">
        <v>10</v>
      </c>
      <c r="I785" s="22">
        <v>183</v>
      </c>
      <c r="J785" s="23">
        <v>2852</v>
      </c>
    </row>
    <row r="786" spans="1:10" x14ac:dyDescent="0.3">
      <c r="A786" s="20">
        <v>8053475328</v>
      </c>
      <c r="B786" s="21">
        <v>42488</v>
      </c>
      <c r="C786" s="22" t="s">
        <v>12</v>
      </c>
      <c r="D786" s="22">
        <v>4</v>
      </c>
      <c r="E786" s="22">
        <v>15447</v>
      </c>
      <c r="F786" s="22">
        <v>12.3999996185303</v>
      </c>
      <c r="G786" s="22">
        <v>90</v>
      </c>
      <c r="H786" s="22">
        <v>9</v>
      </c>
      <c r="I786" s="22">
        <v>153</v>
      </c>
      <c r="J786" s="23">
        <v>3062</v>
      </c>
    </row>
    <row r="787" spans="1:10" x14ac:dyDescent="0.3">
      <c r="A787" s="20">
        <v>8053475328</v>
      </c>
      <c r="B787" s="21">
        <v>42489</v>
      </c>
      <c r="C787" s="22" t="s">
        <v>13</v>
      </c>
      <c r="D787" s="22">
        <v>5</v>
      </c>
      <c r="E787" s="22">
        <v>12315</v>
      </c>
      <c r="F787" s="22">
        <v>9.6499996185302699</v>
      </c>
      <c r="G787" s="22">
        <v>58</v>
      </c>
      <c r="H787" s="22">
        <v>8</v>
      </c>
      <c r="I787" s="22">
        <v>159</v>
      </c>
      <c r="J787" s="23">
        <v>2794</v>
      </c>
    </row>
    <row r="788" spans="1:10" x14ac:dyDescent="0.3">
      <c r="A788" s="20">
        <v>8053475328</v>
      </c>
      <c r="B788" s="21">
        <v>42490</v>
      </c>
      <c r="C788" s="22" t="s">
        <v>14</v>
      </c>
      <c r="D788" s="22">
        <v>6</v>
      </c>
      <c r="E788" s="22">
        <v>7135</v>
      </c>
      <c r="F788" s="22">
        <v>5.5900001525878897</v>
      </c>
      <c r="G788" s="22">
        <v>27</v>
      </c>
      <c r="H788" s="22">
        <v>1</v>
      </c>
      <c r="I788" s="22">
        <v>131</v>
      </c>
      <c r="J788" s="23">
        <v>2408</v>
      </c>
    </row>
    <row r="789" spans="1:10" x14ac:dyDescent="0.3">
      <c r="A789" s="20">
        <v>8053475328</v>
      </c>
      <c r="B789" s="21">
        <v>42491</v>
      </c>
      <c r="C789" s="22" t="s">
        <v>15</v>
      </c>
      <c r="D789" s="22">
        <v>0</v>
      </c>
      <c r="E789" s="22">
        <v>1170</v>
      </c>
      <c r="F789" s="22">
        <v>0.85000002384185802</v>
      </c>
      <c r="G789" s="22">
        <v>0</v>
      </c>
      <c r="H789" s="22">
        <v>0</v>
      </c>
      <c r="I789" s="22">
        <v>51</v>
      </c>
      <c r="J789" s="23">
        <v>1886</v>
      </c>
    </row>
    <row r="790" spans="1:10" x14ac:dyDescent="0.3">
      <c r="A790" s="20">
        <v>8053475328</v>
      </c>
      <c r="B790" s="21">
        <v>42492</v>
      </c>
      <c r="C790" s="22" t="s">
        <v>16</v>
      </c>
      <c r="D790" s="22">
        <v>1</v>
      </c>
      <c r="E790" s="22">
        <v>1969</v>
      </c>
      <c r="F790" s="22">
        <v>1.4299999475479099</v>
      </c>
      <c r="G790" s="22">
        <v>0</v>
      </c>
      <c r="H790" s="22">
        <v>0</v>
      </c>
      <c r="I790" s="22">
        <v>95</v>
      </c>
      <c r="J790" s="23">
        <v>1988</v>
      </c>
    </row>
    <row r="791" spans="1:10" x14ac:dyDescent="0.3">
      <c r="A791" s="20">
        <v>8053475328</v>
      </c>
      <c r="B791" s="21">
        <v>42493</v>
      </c>
      <c r="C791" s="22" t="s">
        <v>10</v>
      </c>
      <c r="D791" s="22">
        <v>2</v>
      </c>
      <c r="E791" s="22">
        <v>15484</v>
      </c>
      <c r="F791" s="22">
        <v>11.8999996185303</v>
      </c>
      <c r="G791" s="22">
        <v>87</v>
      </c>
      <c r="H791" s="22">
        <v>22</v>
      </c>
      <c r="I791" s="22">
        <v>165</v>
      </c>
      <c r="J791" s="23">
        <v>3023</v>
      </c>
    </row>
    <row r="792" spans="1:10" x14ac:dyDescent="0.3">
      <c r="A792" s="20">
        <v>8053475328</v>
      </c>
      <c r="B792" s="21">
        <v>42494</v>
      </c>
      <c r="C792" s="22" t="s">
        <v>11</v>
      </c>
      <c r="D792" s="22">
        <v>3</v>
      </c>
      <c r="E792" s="22">
        <v>14581</v>
      </c>
      <c r="F792" s="22">
        <v>11.1499996185303</v>
      </c>
      <c r="G792" s="22">
        <v>89</v>
      </c>
      <c r="H792" s="22">
        <v>8</v>
      </c>
      <c r="I792" s="22">
        <v>123</v>
      </c>
      <c r="J792" s="23">
        <v>2918</v>
      </c>
    </row>
    <row r="793" spans="1:10" x14ac:dyDescent="0.3">
      <c r="A793" s="20">
        <v>8053475328</v>
      </c>
      <c r="B793" s="21">
        <v>42495</v>
      </c>
      <c r="C793" s="22" t="s">
        <v>12</v>
      </c>
      <c r="D793" s="22">
        <v>4</v>
      </c>
      <c r="E793" s="22">
        <v>14990</v>
      </c>
      <c r="F793" s="22">
        <v>11.5100002288818</v>
      </c>
      <c r="G793" s="22">
        <v>93</v>
      </c>
      <c r="H793" s="22">
        <v>9</v>
      </c>
      <c r="I793" s="22">
        <v>130</v>
      </c>
      <c r="J793" s="23">
        <v>2950</v>
      </c>
    </row>
    <row r="794" spans="1:10" x14ac:dyDescent="0.3">
      <c r="A794" s="20">
        <v>8053475328</v>
      </c>
      <c r="B794" s="21">
        <v>42496</v>
      </c>
      <c r="C794" s="22" t="s">
        <v>13</v>
      </c>
      <c r="D794" s="22">
        <v>5</v>
      </c>
      <c r="E794" s="22">
        <v>13953</v>
      </c>
      <c r="F794" s="22">
        <v>11</v>
      </c>
      <c r="G794" s="22">
        <v>90</v>
      </c>
      <c r="H794" s="22">
        <v>15</v>
      </c>
      <c r="I794" s="22">
        <v>90</v>
      </c>
      <c r="J794" s="23">
        <v>2859</v>
      </c>
    </row>
    <row r="795" spans="1:10" x14ac:dyDescent="0.3">
      <c r="A795" s="20">
        <v>8053475328</v>
      </c>
      <c r="B795" s="21">
        <v>42497</v>
      </c>
      <c r="C795" s="22" t="s">
        <v>14</v>
      </c>
      <c r="D795" s="22">
        <v>6</v>
      </c>
      <c r="E795" s="22">
        <v>19769</v>
      </c>
      <c r="F795" s="22">
        <v>15.670000076293899</v>
      </c>
      <c r="G795" s="22">
        <v>121</v>
      </c>
      <c r="H795" s="22">
        <v>20</v>
      </c>
      <c r="I795" s="22">
        <v>148</v>
      </c>
      <c r="J795" s="23">
        <v>3331</v>
      </c>
    </row>
    <row r="796" spans="1:10" x14ac:dyDescent="0.3">
      <c r="A796" s="20">
        <v>8053475328</v>
      </c>
      <c r="B796" s="21">
        <v>42498</v>
      </c>
      <c r="C796" s="22" t="s">
        <v>15</v>
      </c>
      <c r="D796" s="22">
        <v>0</v>
      </c>
      <c r="E796" s="22">
        <v>22026</v>
      </c>
      <c r="F796" s="22">
        <v>17.649999618530298</v>
      </c>
      <c r="G796" s="22">
        <v>125</v>
      </c>
      <c r="H796" s="22">
        <v>14</v>
      </c>
      <c r="I796" s="22">
        <v>228</v>
      </c>
      <c r="J796" s="23">
        <v>3589</v>
      </c>
    </row>
    <row r="797" spans="1:10" x14ac:dyDescent="0.3">
      <c r="A797" s="20">
        <v>8053475328</v>
      </c>
      <c r="B797" s="21">
        <v>42499</v>
      </c>
      <c r="C797" s="22" t="s">
        <v>16</v>
      </c>
      <c r="D797" s="22">
        <v>1</v>
      </c>
      <c r="E797" s="22">
        <v>12465</v>
      </c>
      <c r="F797" s="22">
        <v>9.3800001144409197</v>
      </c>
      <c r="G797" s="22">
        <v>66</v>
      </c>
      <c r="H797" s="22">
        <v>12</v>
      </c>
      <c r="I797" s="22">
        <v>148</v>
      </c>
      <c r="J797" s="23">
        <v>2765</v>
      </c>
    </row>
    <row r="798" spans="1:10" x14ac:dyDescent="0.3">
      <c r="A798" s="20">
        <v>8053475328</v>
      </c>
      <c r="B798" s="21">
        <v>42500</v>
      </c>
      <c r="C798" s="22" t="s">
        <v>10</v>
      </c>
      <c r="D798" s="22">
        <v>2</v>
      </c>
      <c r="E798" s="22">
        <v>14810</v>
      </c>
      <c r="F798" s="22">
        <v>11.3599996566772</v>
      </c>
      <c r="G798" s="22">
        <v>96</v>
      </c>
      <c r="H798" s="22">
        <v>10</v>
      </c>
      <c r="I798" s="22">
        <v>115</v>
      </c>
      <c r="J798" s="23">
        <v>2926</v>
      </c>
    </row>
    <row r="799" spans="1:10" x14ac:dyDescent="0.3">
      <c r="A799" s="20">
        <v>8053475328</v>
      </c>
      <c r="B799" s="21">
        <v>42501</v>
      </c>
      <c r="C799" s="22" t="s">
        <v>11</v>
      </c>
      <c r="D799" s="22">
        <v>3</v>
      </c>
      <c r="E799" s="22">
        <v>12209</v>
      </c>
      <c r="F799" s="22">
        <v>9.3999996185302699</v>
      </c>
      <c r="G799" s="22">
        <v>60</v>
      </c>
      <c r="H799" s="22">
        <v>7</v>
      </c>
      <c r="I799" s="22">
        <v>184</v>
      </c>
      <c r="J799" s="23">
        <v>2809</v>
      </c>
    </row>
    <row r="800" spans="1:10" x14ac:dyDescent="0.3">
      <c r="A800" s="20">
        <v>8053475328</v>
      </c>
      <c r="B800" s="21">
        <v>42502</v>
      </c>
      <c r="C800" s="22" t="s">
        <v>12</v>
      </c>
      <c r="D800" s="22">
        <v>4</v>
      </c>
      <c r="E800" s="22">
        <v>4998</v>
      </c>
      <c r="F800" s="22">
        <v>3.9100000858306898</v>
      </c>
      <c r="G800" s="22">
        <v>28</v>
      </c>
      <c r="H800" s="22">
        <v>4</v>
      </c>
      <c r="I800" s="22">
        <v>39</v>
      </c>
      <c r="J800" s="23">
        <v>1505</v>
      </c>
    </row>
    <row r="801" spans="1:10" x14ac:dyDescent="0.3">
      <c r="A801" s="20">
        <v>8253242879</v>
      </c>
      <c r="B801" s="21">
        <v>42472</v>
      </c>
      <c r="C801" s="22" t="s">
        <v>10</v>
      </c>
      <c r="D801" s="22">
        <v>2</v>
      </c>
      <c r="E801" s="22">
        <v>9033</v>
      </c>
      <c r="F801" s="22">
        <v>7.1599998474121103</v>
      </c>
      <c r="G801" s="22">
        <v>40</v>
      </c>
      <c r="H801" s="22">
        <v>2</v>
      </c>
      <c r="I801" s="22">
        <v>154</v>
      </c>
      <c r="J801" s="23">
        <v>2044</v>
      </c>
    </row>
    <row r="802" spans="1:10" x14ac:dyDescent="0.3">
      <c r="A802" s="20">
        <v>8253242879</v>
      </c>
      <c r="B802" s="21">
        <v>42473</v>
      </c>
      <c r="C802" s="22" t="s">
        <v>11</v>
      </c>
      <c r="D802" s="22">
        <v>3</v>
      </c>
      <c r="E802" s="22">
        <v>8053</v>
      </c>
      <c r="F802" s="22">
        <v>6.0999999046325701</v>
      </c>
      <c r="G802" s="22">
        <v>35</v>
      </c>
      <c r="H802" s="22">
        <v>11</v>
      </c>
      <c r="I802" s="22">
        <v>96</v>
      </c>
      <c r="J802" s="23">
        <v>1935</v>
      </c>
    </row>
    <row r="803" spans="1:10" x14ac:dyDescent="0.3">
      <c r="A803" s="20">
        <v>8253242879</v>
      </c>
      <c r="B803" s="21">
        <v>42474</v>
      </c>
      <c r="C803" s="22" t="s">
        <v>12</v>
      </c>
      <c r="D803" s="22">
        <v>4</v>
      </c>
      <c r="E803" s="22">
        <v>5234</v>
      </c>
      <c r="F803" s="22">
        <v>3.46000003814697</v>
      </c>
      <c r="G803" s="22">
        <v>29</v>
      </c>
      <c r="H803" s="22">
        <v>16</v>
      </c>
      <c r="I803" s="22">
        <v>33</v>
      </c>
      <c r="J803" s="23">
        <v>1705</v>
      </c>
    </row>
    <row r="804" spans="1:10" x14ac:dyDescent="0.3">
      <c r="A804" s="20">
        <v>8253242879</v>
      </c>
      <c r="B804" s="21">
        <v>42475</v>
      </c>
      <c r="C804" s="22" t="s">
        <v>13</v>
      </c>
      <c r="D804" s="22">
        <v>5</v>
      </c>
      <c r="E804" s="22">
        <v>2672</v>
      </c>
      <c r="F804" s="22">
        <v>1.7699999809265099</v>
      </c>
      <c r="G804" s="22">
        <v>0</v>
      </c>
      <c r="H804" s="22">
        <v>0</v>
      </c>
      <c r="I804" s="22">
        <v>105</v>
      </c>
      <c r="J804" s="23">
        <v>1632</v>
      </c>
    </row>
    <row r="805" spans="1:10" x14ac:dyDescent="0.3">
      <c r="A805" s="20">
        <v>8253242879</v>
      </c>
      <c r="B805" s="21">
        <v>42476</v>
      </c>
      <c r="C805" s="22" t="s">
        <v>14</v>
      </c>
      <c r="D805" s="22">
        <v>6</v>
      </c>
      <c r="E805" s="22">
        <v>9256</v>
      </c>
      <c r="F805" s="22">
        <v>6.1399998664856001</v>
      </c>
      <c r="G805" s="22">
        <v>6</v>
      </c>
      <c r="H805" s="22">
        <v>51</v>
      </c>
      <c r="I805" s="22">
        <v>115</v>
      </c>
      <c r="J805" s="23">
        <v>1880</v>
      </c>
    </row>
    <row r="806" spans="1:10" x14ac:dyDescent="0.3">
      <c r="A806" s="20">
        <v>8253242879</v>
      </c>
      <c r="B806" s="21">
        <v>42477</v>
      </c>
      <c r="C806" s="22" t="s">
        <v>15</v>
      </c>
      <c r="D806" s="22">
        <v>0</v>
      </c>
      <c r="E806" s="22">
        <v>10204</v>
      </c>
      <c r="F806" s="22">
        <v>7.9099998474121103</v>
      </c>
      <c r="G806" s="22">
        <v>41</v>
      </c>
      <c r="H806" s="22">
        <v>5</v>
      </c>
      <c r="I806" s="22">
        <v>157</v>
      </c>
      <c r="J806" s="23">
        <v>2112</v>
      </c>
    </row>
    <row r="807" spans="1:10" x14ac:dyDescent="0.3">
      <c r="A807" s="20">
        <v>8253242879</v>
      </c>
      <c r="B807" s="21">
        <v>42478</v>
      </c>
      <c r="C807" s="22" t="s">
        <v>16</v>
      </c>
      <c r="D807" s="22">
        <v>1</v>
      </c>
      <c r="E807" s="22">
        <v>5151</v>
      </c>
      <c r="F807" s="22">
        <v>3.4800000190734899</v>
      </c>
      <c r="G807" s="22">
        <v>16</v>
      </c>
      <c r="H807" s="22">
        <v>16</v>
      </c>
      <c r="I807" s="22">
        <v>130</v>
      </c>
      <c r="J807" s="23">
        <v>1829</v>
      </c>
    </row>
    <row r="808" spans="1:10" x14ac:dyDescent="0.3">
      <c r="A808" s="20">
        <v>8253242879</v>
      </c>
      <c r="B808" s="21">
        <v>42479</v>
      </c>
      <c r="C808" s="22" t="s">
        <v>10</v>
      </c>
      <c r="D808" s="22">
        <v>2</v>
      </c>
      <c r="E808" s="22">
        <v>4212</v>
      </c>
      <c r="F808" s="22">
        <v>2.7799999713897701</v>
      </c>
      <c r="G808" s="22">
        <v>0</v>
      </c>
      <c r="H808" s="22">
        <v>0</v>
      </c>
      <c r="I808" s="22">
        <v>164</v>
      </c>
      <c r="J808" s="23">
        <v>1763</v>
      </c>
    </row>
    <row r="809" spans="1:10" x14ac:dyDescent="0.3">
      <c r="A809" s="20">
        <v>8253242879</v>
      </c>
      <c r="B809" s="21">
        <v>42480</v>
      </c>
      <c r="C809" s="22" t="s">
        <v>11</v>
      </c>
      <c r="D809" s="22">
        <v>3</v>
      </c>
      <c r="E809" s="22">
        <v>6466</v>
      </c>
      <c r="F809" s="22">
        <v>4.2699999809265101</v>
      </c>
      <c r="G809" s="22">
        <v>5</v>
      </c>
      <c r="H809" s="22">
        <v>18</v>
      </c>
      <c r="I809" s="22">
        <v>216</v>
      </c>
      <c r="J809" s="23">
        <v>1931</v>
      </c>
    </row>
    <row r="810" spans="1:10" x14ac:dyDescent="0.3">
      <c r="A810" s="20">
        <v>8253242879</v>
      </c>
      <c r="B810" s="21">
        <v>42481</v>
      </c>
      <c r="C810" s="22" t="s">
        <v>12</v>
      </c>
      <c r="D810" s="22">
        <v>4</v>
      </c>
      <c r="E810" s="22">
        <v>11268</v>
      </c>
      <c r="F810" s="22">
        <v>8.5600004196166992</v>
      </c>
      <c r="G810" s="22">
        <v>49</v>
      </c>
      <c r="H810" s="22">
        <v>20</v>
      </c>
      <c r="I810" s="22">
        <v>172</v>
      </c>
      <c r="J810" s="23">
        <v>2218</v>
      </c>
    </row>
    <row r="811" spans="1:10" x14ac:dyDescent="0.3">
      <c r="A811" s="20">
        <v>8253242879</v>
      </c>
      <c r="B811" s="21">
        <v>42482</v>
      </c>
      <c r="C811" s="22" t="s">
        <v>13</v>
      </c>
      <c r="D811" s="22">
        <v>5</v>
      </c>
      <c r="E811" s="22">
        <v>2824</v>
      </c>
      <c r="F811" s="22">
        <v>1.87000000476837</v>
      </c>
      <c r="G811" s="22">
        <v>0</v>
      </c>
      <c r="H811" s="22">
        <v>0</v>
      </c>
      <c r="I811" s="22">
        <v>120</v>
      </c>
      <c r="J811" s="23">
        <v>1651</v>
      </c>
    </row>
    <row r="812" spans="1:10" x14ac:dyDescent="0.3">
      <c r="A812" s="20">
        <v>8253242879</v>
      </c>
      <c r="B812" s="21">
        <v>42483</v>
      </c>
      <c r="C812" s="22" t="s">
        <v>14</v>
      </c>
      <c r="D812" s="22">
        <v>6</v>
      </c>
      <c r="E812" s="22">
        <v>9282</v>
      </c>
      <c r="F812" s="22">
        <v>6.2600002288818404</v>
      </c>
      <c r="G812" s="22">
        <v>30</v>
      </c>
      <c r="H812" s="22">
        <v>26</v>
      </c>
      <c r="I812" s="22">
        <v>191</v>
      </c>
      <c r="J812" s="23">
        <v>2132</v>
      </c>
    </row>
    <row r="813" spans="1:10" x14ac:dyDescent="0.3">
      <c r="A813" s="20">
        <v>8253242879</v>
      </c>
      <c r="B813" s="21">
        <v>42484</v>
      </c>
      <c r="C813" s="22" t="s">
        <v>15</v>
      </c>
      <c r="D813" s="22">
        <v>0</v>
      </c>
      <c r="E813" s="22">
        <v>8905</v>
      </c>
      <c r="F813" s="22">
        <v>7.1300001144409197</v>
      </c>
      <c r="G813" s="22">
        <v>41</v>
      </c>
      <c r="H813" s="22">
        <v>4</v>
      </c>
      <c r="I813" s="22">
        <v>82</v>
      </c>
      <c r="J813" s="23">
        <v>1976</v>
      </c>
    </row>
    <row r="814" spans="1:10" x14ac:dyDescent="0.3">
      <c r="A814" s="20">
        <v>8253242879</v>
      </c>
      <c r="B814" s="21">
        <v>42485</v>
      </c>
      <c r="C814" s="22" t="s">
        <v>16</v>
      </c>
      <c r="D814" s="22">
        <v>1</v>
      </c>
      <c r="E814" s="22">
        <v>6829</v>
      </c>
      <c r="F814" s="22">
        <v>4.5100002288818404</v>
      </c>
      <c r="G814" s="22">
        <v>7</v>
      </c>
      <c r="H814" s="22">
        <v>54</v>
      </c>
      <c r="I814" s="22">
        <v>118</v>
      </c>
      <c r="J814" s="23">
        <v>1909</v>
      </c>
    </row>
    <row r="815" spans="1:10" x14ac:dyDescent="0.3">
      <c r="A815" s="20">
        <v>8253242879</v>
      </c>
      <c r="B815" s="21">
        <v>42486</v>
      </c>
      <c r="C815" s="22" t="s">
        <v>10</v>
      </c>
      <c r="D815" s="22">
        <v>2</v>
      </c>
      <c r="E815" s="22">
        <v>4562</v>
      </c>
      <c r="F815" s="22">
        <v>3.03999996185303</v>
      </c>
      <c r="G815" s="22">
        <v>19</v>
      </c>
      <c r="H815" s="22">
        <v>14</v>
      </c>
      <c r="I815" s="22">
        <v>108</v>
      </c>
      <c r="J815" s="23">
        <v>1813</v>
      </c>
    </row>
    <row r="816" spans="1:10" x14ac:dyDescent="0.3">
      <c r="A816" s="20">
        <v>8253242879</v>
      </c>
      <c r="B816" s="21">
        <v>42487</v>
      </c>
      <c r="C816" s="22" t="s">
        <v>11</v>
      </c>
      <c r="D816" s="22">
        <v>3</v>
      </c>
      <c r="E816" s="22">
        <v>10232</v>
      </c>
      <c r="F816" s="22">
        <v>8.1800003051757795</v>
      </c>
      <c r="G816" s="22">
        <v>45</v>
      </c>
      <c r="H816" s="22">
        <v>5</v>
      </c>
      <c r="I816" s="22">
        <v>104</v>
      </c>
      <c r="J816" s="23">
        <v>2008</v>
      </c>
    </row>
    <row r="817" spans="1:10" x14ac:dyDescent="0.3">
      <c r="A817" s="20">
        <v>8253242879</v>
      </c>
      <c r="B817" s="21">
        <v>42488</v>
      </c>
      <c r="C817" s="22" t="s">
        <v>12</v>
      </c>
      <c r="D817" s="22">
        <v>4</v>
      </c>
      <c r="E817" s="22">
        <v>2718</v>
      </c>
      <c r="F817" s="22">
        <v>1.79999995231628</v>
      </c>
      <c r="G817" s="22">
        <v>11</v>
      </c>
      <c r="H817" s="22">
        <v>16</v>
      </c>
      <c r="I817" s="22">
        <v>20</v>
      </c>
      <c r="J817" s="23">
        <v>1580</v>
      </c>
    </row>
    <row r="818" spans="1:10" x14ac:dyDescent="0.3">
      <c r="A818" s="20">
        <v>8253242879</v>
      </c>
      <c r="B818" s="21">
        <v>42489</v>
      </c>
      <c r="C818" s="22" t="s">
        <v>13</v>
      </c>
      <c r="D818" s="22">
        <v>5</v>
      </c>
      <c r="E818" s="22">
        <v>6260</v>
      </c>
      <c r="F818" s="22">
        <v>4.2600002288818404</v>
      </c>
      <c r="G818" s="22">
        <v>16</v>
      </c>
      <c r="H818" s="22">
        <v>14</v>
      </c>
      <c r="I818" s="22">
        <v>136</v>
      </c>
      <c r="J818" s="23">
        <v>1854</v>
      </c>
    </row>
    <row r="819" spans="1:10" x14ac:dyDescent="0.3">
      <c r="A819" s="20">
        <v>8253242879</v>
      </c>
      <c r="B819" s="21">
        <v>42490</v>
      </c>
      <c r="C819" s="22" t="s">
        <v>14</v>
      </c>
      <c r="D819" s="22">
        <v>6</v>
      </c>
      <c r="E819" s="22">
        <v>0</v>
      </c>
      <c r="F819" s="22">
        <v>0</v>
      </c>
      <c r="G819" s="22">
        <v>0</v>
      </c>
      <c r="H819" s="22">
        <v>0</v>
      </c>
      <c r="I819" s="22">
        <v>0</v>
      </c>
      <c r="J819" s="23">
        <v>0</v>
      </c>
    </row>
    <row r="820" spans="1:10" x14ac:dyDescent="0.3">
      <c r="A820" s="20">
        <v>8378563200</v>
      </c>
      <c r="B820" s="21">
        <v>42472</v>
      </c>
      <c r="C820" s="22" t="s">
        <v>10</v>
      </c>
      <c r="D820" s="22">
        <v>2</v>
      </c>
      <c r="E820" s="22">
        <v>7626</v>
      </c>
      <c r="F820" s="22">
        <v>6.0500001907348597</v>
      </c>
      <c r="G820" s="22">
        <v>65</v>
      </c>
      <c r="H820" s="22">
        <v>15</v>
      </c>
      <c r="I820" s="22">
        <v>156</v>
      </c>
      <c r="J820" s="23">
        <v>3635</v>
      </c>
    </row>
    <row r="821" spans="1:10" x14ac:dyDescent="0.3">
      <c r="A821" s="20">
        <v>8378563200</v>
      </c>
      <c r="B821" s="21">
        <v>42473</v>
      </c>
      <c r="C821" s="22" t="s">
        <v>11</v>
      </c>
      <c r="D821" s="22">
        <v>3</v>
      </c>
      <c r="E821" s="22">
        <v>12386</v>
      </c>
      <c r="F821" s="22">
        <v>9.8199996948242205</v>
      </c>
      <c r="G821" s="22">
        <v>116</v>
      </c>
      <c r="H821" s="22">
        <v>14</v>
      </c>
      <c r="I821" s="22">
        <v>169</v>
      </c>
      <c r="J821" s="23">
        <v>4079</v>
      </c>
    </row>
    <row r="822" spans="1:10" x14ac:dyDescent="0.3">
      <c r="A822" s="20">
        <v>8378563200</v>
      </c>
      <c r="B822" s="21">
        <v>42474</v>
      </c>
      <c r="C822" s="22" t="s">
        <v>12</v>
      </c>
      <c r="D822" s="22">
        <v>4</v>
      </c>
      <c r="E822" s="22">
        <v>13318</v>
      </c>
      <c r="F822" s="22">
        <v>10.560000419616699</v>
      </c>
      <c r="G822" s="22">
        <v>123</v>
      </c>
      <c r="H822" s="22">
        <v>21</v>
      </c>
      <c r="I822" s="22">
        <v>174</v>
      </c>
      <c r="J822" s="23">
        <v>4163</v>
      </c>
    </row>
    <row r="823" spans="1:10" x14ac:dyDescent="0.3">
      <c r="A823" s="20">
        <v>8378563200</v>
      </c>
      <c r="B823" s="21">
        <v>42475</v>
      </c>
      <c r="C823" s="22" t="s">
        <v>13</v>
      </c>
      <c r="D823" s="22">
        <v>5</v>
      </c>
      <c r="E823" s="22">
        <v>14461</v>
      </c>
      <c r="F823" s="22">
        <v>11.4700002670288</v>
      </c>
      <c r="G823" s="22">
        <v>60</v>
      </c>
      <c r="H823" s="22">
        <v>23</v>
      </c>
      <c r="I823" s="22">
        <v>190</v>
      </c>
      <c r="J823" s="23">
        <v>3666</v>
      </c>
    </row>
    <row r="824" spans="1:10" x14ac:dyDescent="0.3">
      <c r="A824" s="20">
        <v>8378563200</v>
      </c>
      <c r="B824" s="21">
        <v>42476</v>
      </c>
      <c r="C824" s="22" t="s">
        <v>14</v>
      </c>
      <c r="D824" s="22">
        <v>6</v>
      </c>
      <c r="E824" s="22">
        <v>11207</v>
      </c>
      <c r="F824" s="22">
        <v>8.8900003433227504</v>
      </c>
      <c r="G824" s="22">
        <v>64</v>
      </c>
      <c r="H824" s="22">
        <v>21</v>
      </c>
      <c r="I824" s="22">
        <v>142</v>
      </c>
      <c r="J824" s="23">
        <v>3363</v>
      </c>
    </row>
    <row r="825" spans="1:10" x14ac:dyDescent="0.3">
      <c r="A825" s="20">
        <v>8378563200</v>
      </c>
      <c r="B825" s="21">
        <v>42477</v>
      </c>
      <c r="C825" s="22" t="s">
        <v>15</v>
      </c>
      <c r="D825" s="22">
        <v>0</v>
      </c>
      <c r="E825" s="22">
        <v>2132</v>
      </c>
      <c r="F825" s="22">
        <v>1.6900000572204601</v>
      </c>
      <c r="G825" s="22">
        <v>0</v>
      </c>
      <c r="H825" s="22">
        <v>0</v>
      </c>
      <c r="I825" s="22">
        <v>93</v>
      </c>
      <c r="J825" s="23">
        <v>2572</v>
      </c>
    </row>
    <row r="826" spans="1:10" x14ac:dyDescent="0.3">
      <c r="A826" s="20">
        <v>8378563200</v>
      </c>
      <c r="B826" s="21">
        <v>42478</v>
      </c>
      <c r="C826" s="22" t="s">
        <v>16</v>
      </c>
      <c r="D826" s="22">
        <v>1</v>
      </c>
      <c r="E826" s="22">
        <v>13630</v>
      </c>
      <c r="F826" s="22">
        <v>10.810000419616699</v>
      </c>
      <c r="G826" s="22">
        <v>117</v>
      </c>
      <c r="H826" s="22">
        <v>10</v>
      </c>
      <c r="I826" s="22">
        <v>174</v>
      </c>
      <c r="J826" s="23">
        <v>4157</v>
      </c>
    </row>
    <row r="827" spans="1:10" x14ac:dyDescent="0.3">
      <c r="A827" s="20">
        <v>8378563200</v>
      </c>
      <c r="B827" s="21">
        <v>42479</v>
      </c>
      <c r="C827" s="22" t="s">
        <v>10</v>
      </c>
      <c r="D827" s="22">
        <v>2</v>
      </c>
      <c r="E827" s="22">
        <v>13070</v>
      </c>
      <c r="F827" s="22">
        <v>10.3599996566772</v>
      </c>
      <c r="G827" s="22">
        <v>120</v>
      </c>
      <c r="H827" s="22">
        <v>19</v>
      </c>
      <c r="I827" s="22">
        <v>154</v>
      </c>
      <c r="J827" s="23">
        <v>4092</v>
      </c>
    </row>
    <row r="828" spans="1:10" x14ac:dyDescent="0.3">
      <c r="A828" s="20">
        <v>8378563200</v>
      </c>
      <c r="B828" s="21">
        <v>42480</v>
      </c>
      <c r="C828" s="22" t="s">
        <v>11</v>
      </c>
      <c r="D828" s="22">
        <v>3</v>
      </c>
      <c r="E828" s="22">
        <v>9388</v>
      </c>
      <c r="F828" s="22">
        <v>7.4400000572204599</v>
      </c>
      <c r="G828" s="22">
        <v>82</v>
      </c>
      <c r="H828" s="22">
        <v>8</v>
      </c>
      <c r="I828" s="22">
        <v>169</v>
      </c>
      <c r="J828" s="23">
        <v>3787</v>
      </c>
    </row>
    <row r="829" spans="1:10" x14ac:dyDescent="0.3">
      <c r="A829" s="20">
        <v>8378563200</v>
      </c>
      <c r="B829" s="21">
        <v>42481</v>
      </c>
      <c r="C829" s="22" t="s">
        <v>12</v>
      </c>
      <c r="D829" s="22">
        <v>4</v>
      </c>
      <c r="E829" s="22">
        <v>15148</v>
      </c>
      <c r="F829" s="22">
        <v>12.0100002288818</v>
      </c>
      <c r="G829" s="22">
        <v>137</v>
      </c>
      <c r="H829" s="22">
        <v>16</v>
      </c>
      <c r="I829" s="22">
        <v>145</v>
      </c>
      <c r="J829" s="23">
        <v>4236</v>
      </c>
    </row>
    <row r="830" spans="1:10" x14ac:dyDescent="0.3">
      <c r="A830" s="20">
        <v>8378563200</v>
      </c>
      <c r="B830" s="21">
        <v>42482</v>
      </c>
      <c r="C830" s="22" t="s">
        <v>13</v>
      </c>
      <c r="D830" s="22">
        <v>5</v>
      </c>
      <c r="E830" s="22">
        <v>12200</v>
      </c>
      <c r="F830" s="22">
        <v>9.6700000762939506</v>
      </c>
      <c r="G830" s="22">
        <v>113</v>
      </c>
      <c r="H830" s="22">
        <v>12</v>
      </c>
      <c r="I830" s="22">
        <v>159</v>
      </c>
      <c r="J830" s="23">
        <v>4044</v>
      </c>
    </row>
    <row r="831" spans="1:10" x14ac:dyDescent="0.3">
      <c r="A831" s="20">
        <v>8378563200</v>
      </c>
      <c r="B831" s="21">
        <v>42483</v>
      </c>
      <c r="C831" s="22" t="s">
        <v>14</v>
      </c>
      <c r="D831" s="22">
        <v>6</v>
      </c>
      <c r="E831" s="22">
        <v>5709</v>
      </c>
      <c r="F831" s="22">
        <v>4.5300002098083496</v>
      </c>
      <c r="G831" s="22">
        <v>19</v>
      </c>
      <c r="H831" s="22">
        <v>10</v>
      </c>
      <c r="I831" s="22">
        <v>136</v>
      </c>
      <c r="J831" s="23">
        <v>2908</v>
      </c>
    </row>
    <row r="832" spans="1:10" x14ac:dyDescent="0.3">
      <c r="A832" s="20">
        <v>8378563200</v>
      </c>
      <c r="B832" s="21">
        <v>42484</v>
      </c>
      <c r="C832" s="22" t="s">
        <v>15</v>
      </c>
      <c r="D832" s="22">
        <v>0</v>
      </c>
      <c r="E832" s="22">
        <v>3703</v>
      </c>
      <c r="F832" s="22">
        <v>2.9400000572204599</v>
      </c>
      <c r="G832" s="22">
        <v>0</v>
      </c>
      <c r="H832" s="22">
        <v>0</v>
      </c>
      <c r="I832" s="22">
        <v>135</v>
      </c>
      <c r="J832" s="23">
        <v>2741</v>
      </c>
    </row>
    <row r="833" spans="1:10" x14ac:dyDescent="0.3">
      <c r="A833" s="20">
        <v>8378563200</v>
      </c>
      <c r="B833" s="21">
        <v>42485</v>
      </c>
      <c r="C833" s="22" t="s">
        <v>16</v>
      </c>
      <c r="D833" s="22">
        <v>1</v>
      </c>
      <c r="E833" s="22">
        <v>12405</v>
      </c>
      <c r="F833" s="22">
        <v>9.8400001525878906</v>
      </c>
      <c r="G833" s="22">
        <v>117</v>
      </c>
      <c r="H833" s="22">
        <v>16</v>
      </c>
      <c r="I833" s="22">
        <v>141</v>
      </c>
      <c r="J833" s="23">
        <v>4005</v>
      </c>
    </row>
    <row r="834" spans="1:10" x14ac:dyDescent="0.3">
      <c r="A834" s="20">
        <v>8378563200</v>
      </c>
      <c r="B834" s="21">
        <v>42486</v>
      </c>
      <c r="C834" s="22" t="s">
        <v>10</v>
      </c>
      <c r="D834" s="22">
        <v>2</v>
      </c>
      <c r="E834" s="22">
        <v>16208</v>
      </c>
      <c r="F834" s="22">
        <v>12.8500003814697</v>
      </c>
      <c r="G834" s="22">
        <v>90</v>
      </c>
      <c r="H834" s="22">
        <v>18</v>
      </c>
      <c r="I834" s="22">
        <v>161</v>
      </c>
      <c r="J834" s="23">
        <v>3763</v>
      </c>
    </row>
    <row r="835" spans="1:10" x14ac:dyDescent="0.3">
      <c r="A835" s="20">
        <v>8378563200</v>
      </c>
      <c r="B835" s="21">
        <v>42487</v>
      </c>
      <c r="C835" s="22" t="s">
        <v>11</v>
      </c>
      <c r="D835" s="22">
        <v>3</v>
      </c>
      <c r="E835" s="22">
        <v>7359</v>
      </c>
      <c r="F835" s="22">
        <v>5.8400001525878897</v>
      </c>
      <c r="G835" s="22">
        <v>4</v>
      </c>
      <c r="H835" s="22">
        <v>4</v>
      </c>
      <c r="I835" s="22">
        <v>192</v>
      </c>
      <c r="J835" s="23">
        <v>3061</v>
      </c>
    </row>
    <row r="836" spans="1:10" x14ac:dyDescent="0.3">
      <c r="A836" s="20">
        <v>8378563200</v>
      </c>
      <c r="B836" s="21">
        <v>42488</v>
      </c>
      <c r="C836" s="22" t="s">
        <v>12</v>
      </c>
      <c r="D836" s="22">
        <v>4</v>
      </c>
      <c r="E836" s="22">
        <v>5417</v>
      </c>
      <c r="F836" s="22">
        <v>4.3000001907348597</v>
      </c>
      <c r="G836" s="22">
        <v>11</v>
      </c>
      <c r="H836" s="22">
        <v>10</v>
      </c>
      <c r="I836" s="22">
        <v>139</v>
      </c>
      <c r="J836" s="23">
        <v>2884</v>
      </c>
    </row>
    <row r="837" spans="1:10" x14ac:dyDescent="0.3">
      <c r="A837" s="20">
        <v>8378563200</v>
      </c>
      <c r="B837" s="21">
        <v>42489</v>
      </c>
      <c r="C837" s="22" t="s">
        <v>13</v>
      </c>
      <c r="D837" s="22">
        <v>5</v>
      </c>
      <c r="E837" s="22">
        <v>6175</v>
      </c>
      <c r="F837" s="22">
        <v>4.9000000953674299</v>
      </c>
      <c r="G837" s="22">
        <v>3</v>
      </c>
      <c r="H837" s="22">
        <v>7</v>
      </c>
      <c r="I837" s="22">
        <v>172</v>
      </c>
      <c r="J837" s="23">
        <v>2982</v>
      </c>
    </row>
    <row r="838" spans="1:10" x14ac:dyDescent="0.3">
      <c r="A838" s="20">
        <v>8378563200</v>
      </c>
      <c r="B838" s="21">
        <v>42490</v>
      </c>
      <c r="C838" s="22" t="s">
        <v>14</v>
      </c>
      <c r="D838" s="22">
        <v>6</v>
      </c>
      <c r="E838" s="22">
        <v>2946</v>
      </c>
      <c r="F838" s="22">
        <v>2.3399999141693102</v>
      </c>
      <c r="G838" s="22">
        <v>0</v>
      </c>
      <c r="H838" s="22">
        <v>0</v>
      </c>
      <c r="I838" s="22">
        <v>121</v>
      </c>
      <c r="J838" s="23">
        <v>2660</v>
      </c>
    </row>
    <row r="839" spans="1:10" x14ac:dyDescent="0.3">
      <c r="A839" s="20">
        <v>8378563200</v>
      </c>
      <c r="B839" s="21">
        <v>42491</v>
      </c>
      <c r="C839" s="22" t="s">
        <v>15</v>
      </c>
      <c r="D839" s="22">
        <v>0</v>
      </c>
      <c r="E839" s="22">
        <v>11419</v>
      </c>
      <c r="F839" s="22">
        <v>9.0600004196166992</v>
      </c>
      <c r="G839" s="22">
        <v>71</v>
      </c>
      <c r="H839" s="22">
        <v>10</v>
      </c>
      <c r="I839" s="22">
        <v>127</v>
      </c>
      <c r="J839" s="23">
        <v>3369</v>
      </c>
    </row>
    <row r="840" spans="1:10" x14ac:dyDescent="0.3">
      <c r="A840" s="20">
        <v>8378563200</v>
      </c>
      <c r="B840" s="21">
        <v>42492</v>
      </c>
      <c r="C840" s="22" t="s">
        <v>16</v>
      </c>
      <c r="D840" s="22">
        <v>1</v>
      </c>
      <c r="E840" s="22">
        <v>6064</v>
      </c>
      <c r="F840" s="22">
        <v>4.8099999427795401</v>
      </c>
      <c r="G840" s="22">
        <v>63</v>
      </c>
      <c r="H840" s="22">
        <v>4</v>
      </c>
      <c r="I840" s="22">
        <v>142</v>
      </c>
      <c r="J840" s="23">
        <v>3491</v>
      </c>
    </row>
    <row r="841" spans="1:10" x14ac:dyDescent="0.3">
      <c r="A841" s="20">
        <v>8378563200</v>
      </c>
      <c r="B841" s="21">
        <v>42493</v>
      </c>
      <c r="C841" s="22" t="s">
        <v>10</v>
      </c>
      <c r="D841" s="22">
        <v>2</v>
      </c>
      <c r="E841" s="22">
        <v>8712</v>
      </c>
      <c r="F841" s="22">
        <v>6.9099998474121103</v>
      </c>
      <c r="G841" s="22">
        <v>71</v>
      </c>
      <c r="H841" s="22">
        <v>20</v>
      </c>
      <c r="I841" s="22">
        <v>195</v>
      </c>
      <c r="J841" s="23">
        <v>3784</v>
      </c>
    </row>
    <row r="842" spans="1:10" x14ac:dyDescent="0.3">
      <c r="A842" s="20">
        <v>8378563200</v>
      </c>
      <c r="B842" s="21">
        <v>42494</v>
      </c>
      <c r="C842" s="22" t="s">
        <v>11</v>
      </c>
      <c r="D842" s="22">
        <v>3</v>
      </c>
      <c r="E842" s="22">
        <v>7875</v>
      </c>
      <c r="F842" s="22">
        <v>6.2399997711181596</v>
      </c>
      <c r="G842" s="22">
        <v>19</v>
      </c>
      <c r="H842" s="22">
        <v>10</v>
      </c>
      <c r="I842" s="22">
        <v>167</v>
      </c>
      <c r="J842" s="23">
        <v>3110</v>
      </c>
    </row>
    <row r="843" spans="1:10" x14ac:dyDescent="0.3">
      <c r="A843" s="20">
        <v>8378563200</v>
      </c>
      <c r="B843" s="21">
        <v>42495</v>
      </c>
      <c r="C843" s="22" t="s">
        <v>12</v>
      </c>
      <c r="D843" s="22">
        <v>4</v>
      </c>
      <c r="E843" s="22">
        <v>8567</v>
      </c>
      <c r="F843" s="22">
        <v>6.78999996185303</v>
      </c>
      <c r="G843" s="22">
        <v>66</v>
      </c>
      <c r="H843" s="22">
        <v>3</v>
      </c>
      <c r="I843" s="22">
        <v>214</v>
      </c>
      <c r="J843" s="23">
        <v>3783</v>
      </c>
    </row>
    <row r="844" spans="1:10" x14ac:dyDescent="0.3">
      <c r="A844" s="20">
        <v>8378563200</v>
      </c>
      <c r="B844" s="21">
        <v>42496</v>
      </c>
      <c r="C844" s="22" t="s">
        <v>13</v>
      </c>
      <c r="D844" s="22">
        <v>5</v>
      </c>
      <c r="E844" s="22">
        <v>7045</v>
      </c>
      <c r="F844" s="22">
        <v>5.5900001525878897</v>
      </c>
      <c r="G844" s="22">
        <v>74</v>
      </c>
      <c r="H844" s="22">
        <v>5</v>
      </c>
      <c r="I844" s="22">
        <v>166</v>
      </c>
      <c r="J844" s="23">
        <v>3644</v>
      </c>
    </row>
    <row r="845" spans="1:10" x14ac:dyDescent="0.3">
      <c r="A845" s="20">
        <v>8378563200</v>
      </c>
      <c r="B845" s="21">
        <v>42497</v>
      </c>
      <c r="C845" s="22" t="s">
        <v>14</v>
      </c>
      <c r="D845" s="22">
        <v>6</v>
      </c>
      <c r="E845" s="22">
        <v>4468</v>
      </c>
      <c r="F845" s="22">
        <v>3.53999996185303</v>
      </c>
      <c r="G845" s="22">
        <v>0</v>
      </c>
      <c r="H845" s="22">
        <v>0</v>
      </c>
      <c r="I845" s="22">
        <v>158</v>
      </c>
      <c r="J845" s="23">
        <v>2799</v>
      </c>
    </row>
    <row r="846" spans="1:10" x14ac:dyDescent="0.3">
      <c r="A846" s="20">
        <v>8378563200</v>
      </c>
      <c r="B846" s="21">
        <v>42498</v>
      </c>
      <c r="C846" s="22" t="s">
        <v>15</v>
      </c>
      <c r="D846" s="22">
        <v>0</v>
      </c>
      <c r="E846" s="22">
        <v>2943</v>
      </c>
      <c r="F846" s="22">
        <v>2.3299999237060498</v>
      </c>
      <c r="G846" s="22">
        <v>0</v>
      </c>
      <c r="H846" s="22">
        <v>0</v>
      </c>
      <c r="I846" s="22">
        <v>139</v>
      </c>
      <c r="J846" s="23">
        <v>2685</v>
      </c>
    </row>
    <row r="847" spans="1:10" x14ac:dyDescent="0.3">
      <c r="A847" s="20">
        <v>8378563200</v>
      </c>
      <c r="B847" s="21">
        <v>42499</v>
      </c>
      <c r="C847" s="22" t="s">
        <v>16</v>
      </c>
      <c r="D847" s="22">
        <v>1</v>
      </c>
      <c r="E847" s="22">
        <v>8382</v>
      </c>
      <c r="F847" s="22">
        <v>6.6500000953674299</v>
      </c>
      <c r="G847" s="22">
        <v>71</v>
      </c>
      <c r="H847" s="22">
        <v>13</v>
      </c>
      <c r="I847" s="22">
        <v>171</v>
      </c>
      <c r="J847" s="23">
        <v>3721</v>
      </c>
    </row>
    <row r="848" spans="1:10" x14ac:dyDescent="0.3">
      <c r="A848" s="20">
        <v>8378563200</v>
      </c>
      <c r="B848" s="21">
        <v>42500</v>
      </c>
      <c r="C848" s="22" t="s">
        <v>10</v>
      </c>
      <c r="D848" s="22">
        <v>2</v>
      </c>
      <c r="E848" s="22">
        <v>6582</v>
      </c>
      <c r="F848" s="22">
        <v>5.2199997901916504</v>
      </c>
      <c r="G848" s="22">
        <v>63</v>
      </c>
      <c r="H848" s="22">
        <v>13</v>
      </c>
      <c r="I848" s="22">
        <v>152</v>
      </c>
      <c r="J848" s="23">
        <v>3586</v>
      </c>
    </row>
    <row r="849" spans="1:10" x14ac:dyDescent="0.3">
      <c r="A849" s="20">
        <v>8378563200</v>
      </c>
      <c r="B849" s="21">
        <v>42501</v>
      </c>
      <c r="C849" s="22" t="s">
        <v>11</v>
      </c>
      <c r="D849" s="22">
        <v>3</v>
      </c>
      <c r="E849" s="22">
        <v>9143</v>
      </c>
      <c r="F849" s="22">
        <v>7.25</v>
      </c>
      <c r="G849" s="22">
        <v>72</v>
      </c>
      <c r="H849" s="22">
        <v>10</v>
      </c>
      <c r="I849" s="22">
        <v>184</v>
      </c>
      <c r="J849" s="23">
        <v>3788</v>
      </c>
    </row>
    <row r="850" spans="1:10" x14ac:dyDescent="0.3">
      <c r="A850" s="20">
        <v>8378563200</v>
      </c>
      <c r="B850" s="21">
        <v>42502</v>
      </c>
      <c r="C850" s="22" t="s">
        <v>12</v>
      </c>
      <c r="D850" s="22">
        <v>4</v>
      </c>
      <c r="E850" s="22">
        <v>4561</v>
      </c>
      <c r="F850" s="22">
        <v>3.6199998855590798</v>
      </c>
      <c r="G850" s="22">
        <v>8</v>
      </c>
      <c r="H850" s="22">
        <v>6</v>
      </c>
      <c r="I850" s="22">
        <v>102</v>
      </c>
      <c r="J850" s="23">
        <v>1976</v>
      </c>
    </row>
    <row r="851" spans="1:10" x14ac:dyDescent="0.3">
      <c r="A851" s="20">
        <v>8583815059</v>
      </c>
      <c r="B851" s="21">
        <v>42472</v>
      </c>
      <c r="C851" s="22" t="s">
        <v>10</v>
      </c>
      <c r="D851" s="22">
        <v>2</v>
      </c>
      <c r="E851" s="22">
        <v>5014</v>
      </c>
      <c r="F851" s="22">
        <v>3.9100000858306898</v>
      </c>
      <c r="G851" s="22">
        <v>0</v>
      </c>
      <c r="H851" s="22">
        <v>7</v>
      </c>
      <c r="I851" s="22">
        <v>196</v>
      </c>
      <c r="J851" s="23">
        <v>2650</v>
      </c>
    </row>
    <row r="852" spans="1:10" x14ac:dyDescent="0.3">
      <c r="A852" s="20">
        <v>8583815059</v>
      </c>
      <c r="B852" s="21">
        <v>42473</v>
      </c>
      <c r="C852" s="22" t="s">
        <v>11</v>
      </c>
      <c r="D852" s="22">
        <v>3</v>
      </c>
      <c r="E852" s="22">
        <v>5571</v>
      </c>
      <c r="F852" s="22">
        <v>4.3499999046325701</v>
      </c>
      <c r="G852" s="22">
        <v>2</v>
      </c>
      <c r="H852" s="22">
        <v>23</v>
      </c>
      <c r="I852" s="22">
        <v>163</v>
      </c>
      <c r="J852" s="23">
        <v>2654</v>
      </c>
    </row>
    <row r="853" spans="1:10" x14ac:dyDescent="0.3">
      <c r="A853" s="20">
        <v>8583815059</v>
      </c>
      <c r="B853" s="21">
        <v>42474</v>
      </c>
      <c r="C853" s="22" t="s">
        <v>12</v>
      </c>
      <c r="D853" s="22">
        <v>4</v>
      </c>
      <c r="E853" s="22">
        <v>3135</v>
      </c>
      <c r="F853" s="22">
        <v>2.4500000476837198</v>
      </c>
      <c r="G853" s="22">
        <v>0</v>
      </c>
      <c r="H853" s="22">
        <v>0</v>
      </c>
      <c r="I853" s="22">
        <v>134</v>
      </c>
      <c r="J853" s="23">
        <v>2443</v>
      </c>
    </row>
    <row r="854" spans="1:10" x14ac:dyDescent="0.3">
      <c r="A854" s="20">
        <v>8583815059</v>
      </c>
      <c r="B854" s="21">
        <v>42475</v>
      </c>
      <c r="C854" s="22" t="s">
        <v>13</v>
      </c>
      <c r="D854" s="22">
        <v>5</v>
      </c>
      <c r="E854" s="22">
        <v>3430</v>
      </c>
      <c r="F854" s="22">
        <v>2.6800000667571999</v>
      </c>
      <c r="G854" s="22">
        <v>0</v>
      </c>
      <c r="H854" s="22">
        <v>0</v>
      </c>
      <c r="I854" s="22">
        <v>65</v>
      </c>
      <c r="J854" s="23">
        <v>2505</v>
      </c>
    </row>
    <row r="855" spans="1:10" x14ac:dyDescent="0.3">
      <c r="A855" s="20">
        <v>8583815059</v>
      </c>
      <c r="B855" s="21">
        <v>42476</v>
      </c>
      <c r="C855" s="22" t="s">
        <v>14</v>
      </c>
      <c r="D855" s="22">
        <v>6</v>
      </c>
      <c r="E855" s="22">
        <v>5319</v>
      </c>
      <c r="F855" s="22">
        <v>4.1500000953674299</v>
      </c>
      <c r="G855" s="22">
        <v>0</v>
      </c>
      <c r="H855" s="22">
        <v>0</v>
      </c>
      <c r="I855" s="22">
        <v>0</v>
      </c>
      <c r="J855" s="23">
        <v>2693</v>
      </c>
    </row>
    <row r="856" spans="1:10" x14ac:dyDescent="0.3">
      <c r="A856" s="20">
        <v>8583815059</v>
      </c>
      <c r="B856" s="21">
        <v>42477</v>
      </c>
      <c r="C856" s="22" t="s">
        <v>15</v>
      </c>
      <c r="D856" s="22">
        <v>0</v>
      </c>
      <c r="E856" s="22">
        <v>3008</v>
      </c>
      <c r="F856" s="22">
        <v>2.3499999046325701</v>
      </c>
      <c r="G856" s="22">
        <v>0</v>
      </c>
      <c r="H856" s="22">
        <v>0</v>
      </c>
      <c r="I856" s="22">
        <v>0</v>
      </c>
      <c r="J856" s="23">
        <v>2439</v>
      </c>
    </row>
    <row r="857" spans="1:10" x14ac:dyDescent="0.3">
      <c r="A857" s="20">
        <v>8583815059</v>
      </c>
      <c r="B857" s="21">
        <v>42478</v>
      </c>
      <c r="C857" s="22" t="s">
        <v>16</v>
      </c>
      <c r="D857" s="22">
        <v>1</v>
      </c>
      <c r="E857" s="22">
        <v>3864</v>
      </c>
      <c r="F857" s="22">
        <v>3.0099999904632599</v>
      </c>
      <c r="G857" s="22">
        <v>4</v>
      </c>
      <c r="H857" s="22">
        <v>22</v>
      </c>
      <c r="I857" s="22">
        <v>105</v>
      </c>
      <c r="J857" s="23">
        <v>2536</v>
      </c>
    </row>
    <row r="858" spans="1:10" x14ac:dyDescent="0.3">
      <c r="A858" s="20">
        <v>8583815059</v>
      </c>
      <c r="B858" s="21">
        <v>42479</v>
      </c>
      <c r="C858" s="22" t="s">
        <v>10</v>
      </c>
      <c r="D858" s="22">
        <v>2</v>
      </c>
      <c r="E858" s="22">
        <v>5697</v>
      </c>
      <c r="F858" s="22">
        <v>4.4400000572204599</v>
      </c>
      <c r="G858" s="22">
        <v>7</v>
      </c>
      <c r="H858" s="22">
        <v>10</v>
      </c>
      <c r="I858" s="22">
        <v>166</v>
      </c>
      <c r="J858" s="23">
        <v>2668</v>
      </c>
    </row>
    <row r="859" spans="1:10" x14ac:dyDescent="0.3">
      <c r="A859" s="20">
        <v>8583815059</v>
      </c>
      <c r="B859" s="21">
        <v>42480</v>
      </c>
      <c r="C859" s="22" t="s">
        <v>11</v>
      </c>
      <c r="D859" s="22">
        <v>3</v>
      </c>
      <c r="E859" s="22">
        <v>5273</v>
      </c>
      <c r="F859" s="22">
        <v>4.1100001335143999</v>
      </c>
      <c r="G859" s="22">
        <v>0</v>
      </c>
      <c r="H859" s="22">
        <v>27</v>
      </c>
      <c r="I859" s="22">
        <v>167</v>
      </c>
      <c r="J859" s="23">
        <v>2647</v>
      </c>
    </row>
    <row r="860" spans="1:10" x14ac:dyDescent="0.3">
      <c r="A860" s="20">
        <v>8583815059</v>
      </c>
      <c r="B860" s="21">
        <v>42481</v>
      </c>
      <c r="C860" s="22" t="s">
        <v>12</v>
      </c>
      <c r="D860" s="22">
        <v>4</v>
      </c>
      <c r="E860" s="22">
        <v>8538</v>
      </c>
      <c r="F860" s="22">
        <v>6.6599998474121103</v>
      </c>
      <c r="G860" s="22">
        <v>35</v>
      </c>
      <c r="H860" s="22">
        <v>18</v>
      </c>
      <c r="I860" s="22">
        <v>158</v>
      </c>
      <c r="J860" s="23">
        <v>2883</v>
      </c>
    </row>
    <row r="861" spans="1:10" x14ac:dyDescent="0.3">
      <c r="A861" s="20">
        <v>8583815059</v>
      </c>
      <c r="B861" s="21">
        <v>42482</v>
      </c>
      <c r="C861" s="22" t="s">
        <v>13</v>
      </c>
      <c r="D861" s="22">
        <v>5</v>
      </c>
      <c r="E861" s="22">
        <v>8687</v>
      </c>
      <c r="F861" s="22">
        <v>6.7800002098083496</v>
      </c>
      <c r="G861" s="22">
        <v>4</v>
      </c>
      <c r="H861" s="22">
        <v>54</v>
      </c>
      <c r="I861" s="22">
        <v>212</v>
      </c>
      <c r="J861" s="23">
        <v>2944</v>
      </c>
    </row>
    <row r="862" spans="1:10" x14ac:dyDescent="0.3">
      <c r="A862" s="20">
        <v>8583815059</v>
      </c>
      <c r="B862" s="21">
        <v>42483</v>
      </c>
      <c r="C862" s="22" t="s">
        <v>14</v>
      </c>
      <c r="D862" s="22">
        <v>6</v>
      </c>
      <c r="E862" s="22">
        <v>9423</v>
      </c>
      <c r="F862" s="22">
        <v>7.3499999046325701</v>
      </c>
      <c r="G862" s="22">
        <v>7</v>
      </c>
      <c r="H862" s="22">
        <v>44</v>
      </c>
      <c r="I862" s="22">
        <v>238</v>
      </c>
      <c r="J862" s="23">
        <v>3012</v>
      </c>
    </row>
    <row r="863" spans="1:10" x14ac:dyDescent="0.3">
      <c r="A863" s="20">
        <v>8583815059</v>
      </c>
      <c r="B863" s="21">
        <v>42484</v>
      </c>
      <c r="C863" s="22" t="s">
        <v>15</v>
      </c>
      <c r="D863" s="22">
        <v>0</v>
      </c>
      <c r="E863" s="22">
        <v>8286</v>
      </c>
      <c r="F863" s="22">
        <v>6.46000003814697</v>
      </c>
      <c r="G863" s="22">
        <v>2</v>
      </c>
      <c r="H863" s="22">
        <v>44</v>
      </c>
      <c r="I863" s="22">
        <v>206</v>
      </c>
      <c r="J863" s="23">
        <v>2889</v>
      </c>
    </row>
    <row r="864" spans="1:10" x14ac:dyDescent="0.3">
      <c r="A864" s="20">
        <v>8583815059</v>
      </c>
      <c r="B864" s="21">
        <v>42485</v>
      </c>
      <c r="C864" s="22" t="s">
        <v>16</v>
      </c>
      <c r="D864" s="22">
        <v>1</v>
      </c>
      <c r="E864" s="22">
        <v>4503</v>
      </c>
      <c r="F864" s="22">
        <v>3.5099999904632599</v>
      </c>
      <c r="G864" s="22">
        <v>18</v>
      </c>
      <c r="H864" s="22">
        <v>6</v>
      </c>
      <c r="I864" s="22">
        <v>122</v>
      </c>
      <c r="J864" s="23">
        <v>2547</v>
      </c>
    </row>
    <row r="865" spans="1:10" x14ac:dyDescent="0.3">
      <c r="A865" s="20">
        <v>8583815059</v>
      </c>
      <c r="B865" s="21">
        <v>42486</v>
      </c>
      <c r="C865" s="22" t="s">
        <v>10</v>
      </c>
      <c r="D865" s="22">
        <v>2</v>
      </c>
      <c r="E865" s="22">
        <v>10499</v>
      </c>
      <c r="F865" s="22">
        <v>8.1899995803833008</v>
      </c>
      <c r="G865" s="22">
        <v>1</v>
      </c>
      <c r="H865" s="22">
        <v>91</v>
      </c>
      <c r="I865" s="22">
        <v>214</v>
      </c>
      <c r="J865" s="23">
        <v>3093</v>
      </c>
    </row>
    <row r="866" spans="1:10" x14ac:dyDescent="0.3">
      <c r="A866" s="20">
        <v>8583815059</v>
      </c>
      <c r="B866" s="21">
        <v>42487</v>
      </c>
      <c r="C866" s="22" t="s">
        <v>11</v>
      </c>
      <c r="D866" s="22">
        <v>3</v>
      </c>
      <c r="E866" s="22">
        <v>12474</v>
      </c>
      <c r="F866" s="22">
        <v>9.7299995422363299</v>
      </c>
      <c r="G866" s="22">
        <v>77</v>
      </c>
      <c r="H866" s="22">
        <v>5</v>
      </c>
      <c r="I866" s="22">
        <v>129</v>
      </c>
      <c r="J866" s="23">
        <v>3142</v>
      </c>
    </row>
    <row r="867" spans="1:10" x14ac:dyDescent="0.3">
      <c r="A867" s="20">
        <v>8583815059</v>
      </c>
      <c r="B867" s="21">
        <v>42488</v>
      </c>
      <c r="C867" s="22" t="s">
        <v>12</v>
      </c>
      <c r="D867" s="22">
        <v>4</v>
      </c>
      <c r="E867" s="22">
        <v>6174</v>
      </c>
      <c r="F867" s="22">
        <v>4.8200001716613796</v>
      </c>
      <c r="G867" s="22">
        <v>0</v>
      </c>
      <c r="H867" s="22">
        <v>28</v>
      </c>
      <c r="I867" s="22">
        <v>203</v>
      </c>
      <c r="J867" s="23">
        <v>2757</v>
      </c>
    </row>
    <row r="868" spans="1:10" x14ac:dyDescent="0.3">
      <c r="A868" s="20">
        <v>8583815059</v>
      </c>
      <c r="B868" s="21">
        <v>42489</v>
      </c>
      <c r="C868" s="22" t="s">
        <v>13</v>
      </c>
      <c r="D868" s="22">
        <v>5</v>
      </c>
      <c r="E868" s="22">
        <v>15168</v>
      </c>
      <c r="F868" s="22">
        <v>11.829999923706101</v>
      </c>
      <c r="G868" s="22">
        <v>46</v>
      </c>
      <c r="H868" s="22">
        <v>67</v>
      </c>
      <c r="I868" s="22">
        <v>258</v>
      </c>
      <c r="J868" s="23">
        <v>3513</v>
      </c>
    </row>
    <row r="869" spans="1:10" x14ac:dyDescent="0.3">
      <c r="A869" s="20">
        <v>8583815059</v>
      </c>
      <c r="B869" s="21">
        <v>42490</v>
      </c>
      <c r="C869" s="22" t="s">
        <v>14</v>
      </c>
      <c r="D869" s="22">
        <v>6</v>
      </c>
      <c r="E869" s="22">
        <v>10085</v>
      </c>
      <c r="F869" s="22">
        <v>7.8699998855590803</v>
      </c>
      <c r="G869" s="22">
        <v>2</v>
      </c>
      <c r="H869" s="22">
        <v>28</v>
      </c>
      <c r="I869" s="22">
        <v>317</v>
      </c>
      <c r="J869" s="23">
        <v>3164</v>
      </c>
    </row>
    <row r="870" spans="1:10" x14ac:dyDescent="0.3">
      <c r="A870" s="20">
        <v>8583815059</v>
      </c>
      <c r="B870" s="21">
        <v>42491</v>
      </c>
      <c r="C870" s="22" t="s">
        <v>15</v>
      </c>
      <c r="D870" s="22">
        <v>0</v>
      </c>
      <c r="E870" s="22">
        <v>4512</v>
      </c>
      <c r="F870" s="22">
        <v>3.5199999809265101</v>
      </c>
      <c r="G870" s="22">
        <v>10</v>
      </c>
      <c r="H870" s="22">
        <v>2</v>
      </c>
      <c r="I870" s="22">
        <v>117</v>
      </c>
      <c r="J870" s="23">
        <v>2596</v>
      </c>
    </row>
    <row r="871" spans="1:10" x14ac:dyDescent="0.3">
      <c r="A871" s="20">
        <v>8583815059</v>
      </c>
      <c r="B871" s="21">
        <v>42492</v>
      </c>
      <c r="C871" s="22" t="s">
        <v>16</v>
      </c>
      <c r="D871" s="22">
        <v>1</v>
      </c>
      <c r="E871" s="22">
        <v>8469</v>
      </c>
      <c r="F871" s="22">
        <v>6.6100001335143999</v>
      </c>
      <c r="G871" s="22">
        <v>0</v>
      </c>
      <c r="H871" s="22">
        <v>0</v>
      </c>
      <c r="I871" s="22">
        <v>0</v>
      </c>
      <c r="J871" s="23">
        <v>2894</v>
      </c>
    </row>
    <row r="872" spans="1:10" x14ac:dyDescent="0.3">
      <c r="A872" s="20">
        <v>8583815059</v>
      </c>
      <c r="B872" s="21">
        <v>42493</v>
      </c>
      <c r="C872" s="22" t="s">
        <v>10</v>
      </c>
      <c r="D872" s="22">
        <v>2</v>
      </c>
      <c r="E872" s="22">
        <v>12015</v>
      </c>
      <c r="F872" s="22">
        <v>9.3699998855590803</v>
      </c>
      <c r="G872" s="22">
        <v>0</v>
      </c>
      <c r="H872" s="22">
        <v>0</v>
      </c>
      <c r="I872" s="22">
        <v>0</v>
      </c>
      <c r="J872" s="23">
        <v>3212</v>
      </c>
    </row>
    <row r="873" spans="1:10" x14ac:dyDescent="0.3">
      <c r="A873" s="20">
        <v>8583815059</v>
      </c>
      <c r="B873" s="21">
        <v>42494</v>
      </c>
      <c r="C873" s="22" t="s">
        <v>11</v>
      </c>
      <c r="D873" s="22">
        <v>3</v>
      </c>
      <c r="E873" s="22">
        <v>3588</v>
      </c>
      <c r="F873" s="22">
        <v>2.7999999523162802</v>
      </c>
      <c r="G873" s="22">
        <v>0</v>
      </c>
      <c r="H873" s="22">
        <v>0</v>
      </c>
      <c r="I873" s="22">
        <v>0</v>
      </c>
      <c r="J873" s="23">
        <v>2516</v>
      </c>
    </row>
    <row r="874" spans="1:10" x14ac:dyDescent="0.3">
      <c r="A874" s="20">
        <v>8583815059</v>
      </c>
      <c r="B874" s="21">
        <v>42495</v>
      </c>
      <c r="C874" s="22" t="s">
        <v>12</v>
      </c>
      <c r="D874" s="22">
        <v>4</v>
      </c>
      <c r="E874" s="22">
        <v>12427</v>
      </c>
      <c r="F874" s="22">
        <v>9.6899995803833008</v>
      </c>
      <c r="G874" s="22">
        <v>0</v>
      </c>
      <c r="H874" s="22">
        <v>0</v>
      </c>
      <c r="I874" s="22">
        <v>70</v>
      </c>
      <c r="J874" s="23">
        <v>3266</v>
      </c>
    </row>
    <row r="875" spans="1:10" x14ac:dyDescent="0.3">
      <c r="A875" s="20">
        <v>8583815059</v>
      </c>
      <c r="B875" s="21">
        <v>42496</v>
      </c>
      <c r="C875" s="22" t="s">
        <v>13</v>
      </c>
      <c r="D875" s="22">
        <v>5</v>
      </c>
      <c r="E875" s="22">
        <v>5843</v>
      </c>
      <c r="F875" s="22">
        <v>4.5599999427795401</v>
      </c>
      <c r="G875" s="22">
        <v>2</v>
      </c>
      <c r="H875" s="22">
        <v>22</v>
      </c>
      <c r="I875" s="22">
        <v>166</v>
      </c>
      <c r="J875" s="23">
        <v>2683</v>
      </c>
    </row>
    <row r="876" spans="1:10" x14ac:dyDescent="0.3">
      <c r="A876" s="20">
        <v>8583815059</v>
      </c>
      <c r="B876" s="21">
        <v>42497</v>
      </c>
      <c r="C876" s="22" t="s">
        <v>14</v>
      </c>
      <c r="D876" s="22">
        <v>6</v>
      </c>
      <c r="E876" s="22">
        <v>6117</v>
      </c>
      <c r="F876" s="22">
        <v>4.7699999809265101</v>
      </c>
      <c r="G876" s="22">
        <v>0</v>
      </c>
      <c r="H876" s="22">
        <v>0</v>
      </c>
      <c r="I876" s="22">
        <v>250</v>
      </c>
      <c r="J876" s="23">
        <v>2810</v>
      </c>
    </row>
    <row r="877" spans="1:10" x14ac:dyDescent="0.3">
      <c r="A877" s="20">
        <v>8583815059</v>
      </c>
      <c r="B877" s="21">
        <v>42498</v>
      </c>
      <c r="C877" s="22" t="s">
        <v>15</v>
      </c>
      <c r="D877" s="22">
        <v>0</v>
      </c>
      <c r="E877" s="22">
        <v>9217</v>
      </c>
      <c r="F877" s="22">
        <v>7.1900000572204599</v>
      </c>
      <c r="G877" s="22">
        <v>3</v>
      </c>
      <c r="H877" s="22">
        <v>72</v>
      </c>
      <c r="I877" s="22">
        <v>182</v>
      </c>
      <c r="J877" s="23">
        <v>2940</v>
      </c>
    </row>
    <row r="878" spans="1:10" x14ac:dyDescent="0.3">
      <c r="A878" s="20">
        <v>8583815059</v>
      </c>
      <c r="B878" s="21">
        <v>42499</v>
      </c>
      <c r="C878" s="22" t="s">
        <v>16</v>
      </c>
      <c r="D878" s="22">
        <v>1</v>
      </c>
      <c r="E878" s="22">
        <v>9877</v>
      </c>
      <c r="F878" s="22">
        <v>7.6999998092651403</v>
      </c>
      <c r="G878" s="22">
        <v>66</v>
      </c>
      <c r="H878" s="22">
        <v>4</v>
      </c>
      <c r="I878" s="22">
        <v>110</v>
      </c>
      <c r="J878" s="23">
        <v>2947</v>
      </c>
    </row>
    <row r="879" spans="1:10" x14ac:dyDescent="0.3">
      <c r="A879" s="20">
        <v>8583815059</v>
      </c>
      <c r="B879" s="21">
        <v>42500</v>
      </c>
      <c r="C879" s="22" t="s">
        <v>10</v>
      </c>
      <c r="D879" s="22">
        <v>2</v>
      </c>
      <c r="E879" s="22">
        <v>8240</v>
      </c>
      <c r="F879" s="22">
        <v>6.4299998283386204</v>
      </c>
      <c r="G879" s="22">
        <v>9</v>
      </c>
      <c r="H879" s="22">
        <v>43</v>
      </c>
      <c r="I879" s="22">
        <v>162</v>
      </c>
      <c r="J879" s="23">
        <v>2846</v>
      </c>
    </row>
    <row r="880" spans="1:10" x14ac:dyDescent="0.3">
      <c r="A880" s="20">
        <v>8583815059</v>
      </c>
      <c r="B880" s="21">
        <v>42501</v>
      </c>
      <c r="C880" s="22" t="s">
        <v>11</v>
      </c>
      <c r="D880" s="22">
        <v>3</v>
      </c>
      <c r="E880" s="22">
        <v>8701</v>
      </c>
      <c r="F880" s="22">
        <v>6.78999996185303</v>
      </c>
      <c r="G880" s="22">
        <v>5</v>
      </c>
      <c r="H880" s="22">
        <v>71</v>
      </c>
      <c r="I880" s="22">
        <v>177</v>
      </c>
      <c r="J880" s="23">
        <v>2804</v>
      </c>
    </row>
    <row r="881" spans="1:10" x14ac:dyDescent="0.3">
      <c r="A881" s="20">
        <v>8583815059</v>
      </c>
      <c r="B881" s="21">
        <v>42502</v>
      </c>
      <c r="C881" s="22" t="s">
        <v>12</v>
      </c>
      <c r="D881" s="22">
        <v>4</v>
      </c>
      <c r="E881" s="22">
        <v>0</v>
      </c>
      <c r="F881" s="22">
        <v>0</v>
      </c>
      <c r="G881" s="22">
        <v>0</v>
      </c>
      <c r="H881" s="22">
        <v>0</v>
      </c>
      <c r="I881" s="22">
        <v>0</v>
      </c>
      <c r="J881" s="23">
        <v>0</v>
      </c>
    </row>
    <row r="882" spans="1:10" x14ac:dyDescent="0.3">
      <c r="A882" s="20">
        <v>8792009665</v>
      </c>
      <c r="B882" s="21">
        <v>42472</v>
      </c>
      <c r="C882" s="22" t="s">
        <v>10</v>
      </c>
      <c r="D882" s="22">
        <v>2</v>
      </c>
      <c r="E882" s="22">
        <v>2564</v>
      </c>
      <c r="F882" s="22">
        <v>1.6399999856948899</v>
      </c>
      <c r="G882" s="22">
        <v>0</v>
      </c>
      <c r="H882" s="22">
        <v>0</v>
      </c>
      <c r="I882" s="22">
        <v>116</v>
      </c>
      <c r="J882" s="23">
        <v>2044</v>
      </c>
    </row>
    <row r="883" spans="1:10" x14ac:dyDescent="0.3">
      <c r="A883" s="20">
        <v>8792009665</v>
      </c>
      <c r="B883" s="21">
        <v>42473</v>
      </c>
      <c r="C883" s="22" t="s">
        <v>11</v>
      </c>
      <c r="D883" s="22">
        <v>3</v>
      </c>
      <c r="E883" s="22">
        <v>1320</v>
      </c>
      <c r="F883" s="22">
        <v>0.83999997377395597</v>
      </c>
      <c r="G883" s="22">
        <v>0</v>
      </c>
      <c r="H883" s="22">
        <v>0</v>
      </c>
      <c r="I883" s="22">
        <v>82</v>
      </c>
      <c r="J883" s="23">
        <v>1934</v>
      </c>
    </row>
    <row r="884" spans="1:10" x14ac:dyDescent="0.3">
      <c r="A884" s="20">
        <v>8792009665</v>
      </c>
      <c r="B884" s="21">
        <v>42474</v>
      </c>
      <c r="C884" s="22" t="s">
        <v>12</v>
      </c>
      <c r="D884" s="22">
        <v>4</v>
      </c>
      <c r="E884" s="22">
        <v>1219</v>
      </c>
      <c r="F884" s="22">
        <v>0.77999997138977095</v>
      </c>
      <c r="G884" s="22">
        <v>0</v>
      </c>
      <c r="H884" s="22">
        <v>0</v>
      </c>
      <c r="I884" s="22">
        <v>84</v>
      </c>
      <c r="J884" s="23">
        <v>1963</v>
      </c>
    </row>
    <row r="885" spans="1:10" x14ac:dyDescent="0.3">
      <c r="A885" s="20">
        <v>8792009665</v>
      </c>
      <c r="B885" s="21">
        <v>42475</v>
      </c>
      <c r="C885" s="22" t="s">
        <v>13</v>
      </c>
      <c r="D885" s="22">
        <v>5</v>
      </c>
      <c r="E885" s="22">
        <v>2483</v>
      </c>
      <c r="F885" s="22">
        <v>1.5900000333786</v>
      </c>
      <c r="G885" s="22">
        <v>0</v>
      </c>
      <c r="H885" s="22">
        <v>0</v>
      </c>
      <c r="I885" s="22">
        <v>126</v>
      </c>
      <c r="J885" s="23">
        <v>2009</v>
      </c>
    </row>
    <row r="886" spans="1:10" x14ac:dyDescent="0.3">
      <c r="A886" s="20">
        <v>8792009665</v>
      </c>
      <c r="B886" s="21">
        <v>42476</v>
      </c>
      <c r="C886" s="22" t="s">
        <v>14</v>
      </c>
      <c r="D886" s="22">
        <v>6</v>
      </c>
      <c r="E886" s="22">
        <v>244</v>
      </c>
      <c r="F886" s="22">
        <v>0.15999999642372101</v>
      </c>
      <c r="G886" s="22">
        <v>0</v>
      </c>
      <c r="H886" s="22">
        <v>0</v>
      </c>
      <c r="I886" s="22">
        <v>12</v>
      </c>
      <c r="J886" s="23">
        <v>1721</v>
      </c>
    </row>
    <row r="887" spans="1:10" x14ac:dyDescent="0.3">
      <c r="A887" s="20">
        <v>8792009665</v>
      </c>
      <c r="B887" s="21">
        <v>42477</v>
      </c>
      <c r="C887" s="22" t="s">
        <v>15</v>
      </c>
      <c r="D887" s="22">
        <v>0</v>
      </c>
      <c r="E887" s="22">
        <v>0</v>
      </c>
      <c r="F887" s="22">
        <v>0</v>
      </c>
      <c r="G887" s="22">
        <v>0</v>
      </c>
      <c r="H887" s="22">
        <v>0</v>
      </c>
      <c r="I887" s="22">
        <v>0</v>
      </c>
      <c r="J887" s="23">
        <v>1688</v>
      </c>
    </row>
    <row r="888" spans="1:10" x14ac:dyDescent="0.3">
      <c r="A888" s="20">
        <v>8792009665</v>
      </c>
      <c r="B888" s="21">
        <v>42478</v>
      </c>
      <c r="C888" s="22" t="s">
        <v>16</v>
      </c>
      <c r="D888" s="22">
        <v>1</v>
      </c>
      <c r="E888" s="22">
        <v>0</v>
      </c>
      <c r="F888" s="22">
        <v>0</v>
      </c>
      <c r="G888" s="22">
        <v>0</v>
      </c>
      <c r="H888" s="22">
        <v>0</v>
      </c>
      <c r="I888" s="22">
        <v>0</v>
      </c>
      <c r="J888" s="23">
        <v>1688</v>
      </c>
    </row>
    <row r="889" spans="1:10" x14ac:dyDescent="0.3">
      <c r="A889" s="20">
        <v>8792009665</v>
      </c>
      <c r="B889" s="21">
        <v>42479</v>
      </c>
      <c r="C889" s="22" t="s">
        <v>10</v>
      </c>
      <c r="D889" s="22">
        <v>2</v>
      </c>
      <c r="E889" s="22">
        <v>0</v>
      </c>
      <c r="F889" s="22">
        <v>0</v>
      </c>
      <c r="G889" s="22">
        <v>0</v>
      </c>
      <c r="H889" s="22">
        <v>0</v>
      </c>
      <c r="I889" s="22">
        <v>0</v>
      </c>
      <c r="J889" s="23">
        <v>1688</v>
      </c>
    </row>
    <row r="890" spans="1:10" x14ac:dyDescent="0.3">
      <c r="A890" s="20">
        <v>8792009665</v>
      </c>
      <c r="B890" s="21">
        <v>42480</v>
      </c>
      <c r="C890" s="22" t="s">
        <v>11</v>
      </c>
      <c r="D890" s="22">
        <v>3</v>
      </c>
      <c r="E890" s="22">
        <v>3147</v>
      </c>
      <c r="F890" s="22">
        <v>2.0099999904632599</v>
      </c>
      <c r="G890" s="22">
        <v>0</v>
      </c>
      <c r="H890" s="22">
        <v>10</v>
      </c>
      <c r="I890" s="22">
        <v>139</v>
      </c>
      <c r="J890" s="23">
        <v>2188</v>
      </c>
    </row>
    <row r="891" spans="1:10" x14ac:dyDescent="0.3">
      <c r="A891" s="20">
        <v>8792009665</v>
      </c>
      <c r="B891" s="21">
        <v>42481</v>
      </c>
      <c r="C891" s="22" t="s">
        <v>12</v>
      </c>
      <c r="D891" s="22">
        <v>4</v>
      </c>
      <c r="E891" s="22">
        <v>144</v>
      </c>
      <c r="F891" s="22">
        <v>9.00000035762787E-2</v>
      </c>
      <c r="G891" s="22">
        <v>0</v>
      </c>
      <c r="H891" s="22">
        <v>0</v>
      </c>
      <c r="I891" s="22">
        <v>9</v>
      </c>
      <c r="J891" s="23">
        <v>1720</v>
      </c>
    </row>
    <row r="892" spans="1:10" x14ac:dyDescent="0.3">
      <c r="A892" s="20">
        <v>8792009665</v>
      </c>
      <c r="B892" s="21">
        <v>42482</v>
      </c>
      <c r="C892" s="22" t="s">
        <v>13</v>
      </c>
      <c r="D892" s="22">
        <v>5</v>
      </c>
      <c r="E892" s="22">
        <v>4068</v>
      </c>
      <c r="F892" s="22">
        <v>2.5999999046325701</v>
      </c>
      <c r="G892" s="22">
        <v>1</v>
      </c>
      <c r="H892" s="22">
        <v>20</v>
      </c>
      <c r="I892" s="22">
        <v>195</v>
      </c>
      <c r="J892" s="23">
        <v>2419</v>
      </c>
    </row>
    <row r="893" spans="1:10" x14ac:dyDescent="0.3">
      <c r="A893" s="20">
        <v>8792009665</v>
      </c>
      <c r="B893" s="21">
        <v>42483</v>
      </c>
      <c r="C893" s="22" t="s">
        <v>14</v>
      </c>
      <c r="D893" s="22">
        <v>6</v>
      </c>
      <c r="E893" s="22">
        <v>5245</v>
      </c>
      <c r="F893" s="22">
        <v>3.3599998950958301</v>
      </c>
      <c r="G893" s="22">
        <v>8</v>
      </c>
      <c r="H893" s="22">
        <v>45</v>
      </c>
      <c r="I893" s="22">
        <v>232</v>
      </c>
      <c r="J893" s="23">
        <v>2748</v>
      </c>
    </row>
    <row r="894" spans="1:10" x14ac:dyDescent="0.3">
      <c r="A894" s="20">
        <v>8792009665</v>
      </c>
      <c r="B894" s="21">
        <v>42484</v>
      </c>
      <c r="C894" s="22" t="s">
        <v>15</v>
      </c>
      <c r="D894" s="22">
        <v>0</v>
      </c>
      <c r="E894" s="22">
        <v>400</v>
      </c>
      <c r="F894" s="22">
        <v>0.259999990463257</v>
      </c>
      <c r="G894" s="22">
        <v>3</v>
      </c>
      <c r="H894" s="22">
        <v>8</v>
      </c>
      <c r="I894" s="22">
        <v>19</v>
      </c>
      <c r="J894" s="23">
        <v>1799</v>
      </c>
    </row>
    <row r="895" spans="1:10" x14ac:dyDescent="0.3">
      <c r="A895" s="20">
        <v>8792009665</v>
      </c>
      <c r="B895" s="21">
        <v>42485</v>
      </c>
      <c r="C895" s="22" t="s">
        <v>16</v>
      </c>
      <c r="D895" s="22">
        <v>1</v>
      </c>
      <c r="E895" s="22">
        <v>0</v>
      </c>
      <c r="F895" s="22">
        <v>0</v>
      </c>
      <c r="G895" s="22">
        <v>0</v>
      </c>
      <c r="H895" s="22">
        <v>0</v>
      </c>
      <c r="I895" s="22">
        <v>0</v>
      </c>
      <c r="J895" s="23">
        <v>1688</v>
      </c>
    </row>
    <row r="896" spans="1:10" x14ac:dyDescent="0.3">
      <c r="A896" s="20">
        <v>8792009665</v>
      </c>
      <c r="B896" s="21">
        <v>42486</v>
      </c>
      <c r="C896" s="22" t="s">
        <v>10</v>
      </c>
      <c r="D896" s="22">
        <v>2</v>
      </c>
      <c r="E896" s="22">
        <v>1321</v>
      </c>
      <c r="F896" s="22">
        <v>0.85000002384185802</v>
      </c>
      <c r="G896" s="22">
        <v>0</v>
      </c>
      <c r="H896" s="22">
        <v>0</v>
      </c>
      <c r="I896" s="22">
        <v>80</v>
      </c>
      <c r="J896" s="23">
        <v>1928</v>
      </c>
    </row>
    <row r="897" spans="1:10" x14ac:dyDescent="0.3">
      <c r="A897" s="20">
        <v>8792009665</v>
      </c>
      <c r="B897" s="21">
        <v>42487</v>
      </c>
      <c r="C897" s="22" t="s">
        <v>11</v>
      </c>
      <c r="D897" s="22">
        <v>3</v>
      </c>
      <c r="E897" s="22">
        <v>1758</v>
      </c>
      <c r="F897" s="22">
        <v>1.12999999523163</v>
      </c>
      <c r="G897" s="22">
        <v>0</v>
      </c>
      <c r="H897" s="22">
        <v>0</v>
      </c>
      <c r="I897" s="22">
        <v>112</v>
      </c>
      <c r="J897" s="23">
        <v>2067</v>
      </c>
    </row>
    <row r="898" spans="1:10" x14ac:dyDescent="0.3">
      <c r="A898" s="20">
        <v>8792009665</v>
      </c>
      <c r="B898" s="21">
        <v>42488</v>
      </c>
      <c r="C898" s="22" t="s">
        <v>12</v>
      </c>
      <c r="D898" s="22">
        <v>4</v>
      </c>
      <c r="E898" s="22">
        <v>6157</v>
      </c>
      <c r="F898" s="22">
        <v>3.9400000572204599</v>
      </c>
      <c r="G898" s="22">
        <v>0</v>
      </c>
      <c r="H898" s="22">
        <v>0</v>
      </c>
      <c r="I898" s="22">
        <v>310</v>
      </c>
      <c r="J898" s="23">
        <v>2780</v>
      </c>
    </row>
    <row r="899" spans="1:10" x14ac:dyDescent="0.3">
      <c r="A899" s="20">
        <v>8792009665</v>
      </c>
      <c r="B899" s="21">
        <v>42489</v>
      </c>
      <c r="C899" s="22" t="s">
        <v>13</v>
      </c>
      <c r="D899" s="22">
        <v>5</v>
      </c>
      <c r="E899" s="22">
        <v>8360</v>
      </c>
      <c r="F899" s="22">
        <v>5.3499999046325701</v>
      </c>
      <c r="G899" s="22">
        <v>6</v>
      </c>
      <c r="H899" s="22">
        <v>14</v>
      </c>
      <c r="I899" s="22">
        <v>380</v>
      </c>
      <c r="J899" s="23">
        <v>3101</v>
      </c>
    </row>
    <row r="900" spans="1:10" x14ac:dyDescent="0.3">
      <c r="A900" s="20">
        <v>8792009665</v>
      </c>
      <c r="B900" s="21">
        <v>42490</v>
      </c>
      <c r="C900" s="22" t="s">
        <v>14</v>
      </c>
      <c r="D900" s="22">
        <v>6</v>
      </c>
      <c r="E900" s="22">
        <v>7174</v>
      </c>
      <c r="F900" s="22">
        <v>4.5900001525878897</v>
      </c>
      <c r="G900" s="22">
        <v>10</v>
      </c>
      <c r="H900" s="22">
        <v>20</v>
      </c>
      <c r="I900" s="22">
        <v>301</v>
      </c>
      <c r="J900" s="23">
        <v>2896</v>
      </c>
    </row>
    <row r="901" spans="1:10" x14ac:dyDescent="0.3">
      <c r="A901" s="20">
        <v>8792009665</v>
      </c>
      <c r="B901" s="21">
        <v>42491</v>
      </c>
      <c r="C901" s="22" t="s">
        <v>15</v>
      </c>
      <c r="D901" s="22">
        <v>0</v>
      </c>
      <c r="E901" s="22">
        <v>1619</v>
      </c>
      <c r="F901" s="22">
        <v>1.03999996185303</v>
      </c>
      <c r="G901" s="22">
        <v>0</v>
      </c>
      <c r="H901" s="22">
        <v>0</v>
      </c>
      <c r="I901" s="22">
        <v>79</v>
      </c>
      <c r="J901" s="23">
        <v>1962</v>
      </c>
    </row>
    <row r="902" spans="1:10" x14ac:dyDescent="0.3">
      <c r="A902" s="20">
        <v>8792009665</v>
      </c>
      <c r="B902" s="21">
        <v>42492</v>
      </c>
      <c r="C902" s="22" t="s">
        <v>16</v>
      </c>
      <c r="D902" s="22">
        <v>1</v>
      </c>
      <c r="E902" s="22">
        <v>1831</v>
      </c>
      <c r="F902" s="22">
        <v>1.16999995708466</v>
      </c>
      <c r="G902" s="22">
        <v>0</v>
      </c>
      <c r="H902" s="22">
        <v>0</v>
      </c>
      <c r="I902" s="22">
        <v>101</v>
      </c>
      <c r="J902" s="23">
        <v>2015</v>
      </c>
    </row>
    <row r="903" spans="1:10" x14ac:dyDescent="0.3">
      <c r="A903" s="20">
        <v>8792009665</v>
      </c>
      <c r="B903" s="21">
        <v>42493</v>
      </c>
      <c r="C903" s="22" t="s">
        <v>10</v>
      </c>
      <c r="D903" s="22">
        <v>2</v>
      </c>
      <c r="E903" s="22">
        <v>2421</v>
      </c>
      <c r="F903" s="22">
        <v>1.54999995231628</v>
      </c>
      <c r="G903" s="22">
        <v>0</v>
      </c>
      <c r="H903" s="22">
        <v>0</v>
      </c>
      <c r="I903" s="22">
        <v>156</v>
      </c>
      <c r="J903" s="23">
        <v>2297</v>
      </c>
    </row>
    <row r="904" spans="1:10" x14ac:dyDescent="0.3">
      <c r="A904" s="20">
        <v>8792009665</v>
      </c>
      <c r="B904" s="21">
        <v>42494</v>
      </c>
      <c r="C904" s="22" t="s">
        <v>11</v>
      </c>
      <c r="D904" s="22">
        <v>3</v>
      </c>
      <c r="E904" s="22">
        <v>2283</v>
      </c>
      <c r="F904" s="22">
        <v>1.46000003814697</v>
      </c>
      <c r="G904" s="22">
        <v>0</v>
      </c>
      <c r="H904" s="22">
        <v>0</v>
      </c>
      <c r="I904" s="22">
        <v>129</v>
      </c>
      <c r="J904" s="23">
        <v>2067</v>
      </c>
    </row>
    <row r="905" spans="1:10" x14ac:dyDescent="0.3">
      <c r="A905" s="20">
        <v>8792009665</v>
      </c>
      <c r="B905" s="21">
        <v>42495</v>
      </c>
      <c r="C905" s="22" t="s">
        <v>12</v>
      </c>
      <c r="D905" s="22">
        <v>4</v>
      </c>
      <c r="E905" s="22">
        <v>0</v>
      </c>
      <c r="F905" s="22">
        <v>0</v>
      </c>
      <c r="G905" s="22">
        <v>0</v>
      </c>
      <c r="H905" s="22">
        <v>0</v>
      </c>
      <c r="I905" s="22">
        <v>0</v>
      </c>
      <c r="J905" s="23">
        <v>1688</v>
      </c>
    </row>
    <row r="906" spans="1:10" x14ac:dyDescent="0.3">
      <c r="A906" s="20">
        <v>8792009665</v>
      </c>
      <c r="B906" s="21">
        <v>42496</v>
      </c>
      <c r="C906" s="22" t="s">
        <v>13</v>
      </c>
      <c r="D906" s="22">
        <v>5</v>
      </c>
      <c r="E906" s="22">
        <v>0</v>
      </c>
      <c r="F906" s="22">
        <v>0</v>
      </c>
      <c r="G906" s="22">
        <v>0</v>
      </c>
      <c r="H906" s="22">
        <v>0</v>
      </c>
      <c r="I906" s="22">
        <v>0</v>
      </c>
      <c r="J906" s="23">
        <v>1688</v>
      </c>
    </row>
    <row r="907" spans="1:10" x14ac:dyDescent="0.3">
      <c r="A907" s="20">
        <v>8792009665</v>
      </c>
      <c r="B907" s="21">
        <v>42497</v>
      </c>
      <c r="C907" s="22" t="s">
        <v>14</v>
      </c>
      <c r="D907" s="22">
        <v>6</v>
      </c>
      <c r="E907" s="22">
        <v>0</v>
      </c>
      <c r="F907" s="22">
        <v>0</v>
      </c>
      <c r="G907" s="22">
        <v>0</v>
      </c>
      <c r="H907" s="22">
        <v>0</v>
      </c>
      <c r="I907" s="22">
        <v>0</v>
      </c>
      <c r="J907" s="23">
        <v>1688</v>
      </c>
    </row>
    <row r="908" spans="1:10" x14ac:dyDescent="0.3">
      <c r="A908" s="20">
        <v>8792009665</v>
      </c>
      <c r="B908" s="21">
        <v>42498</v>
      </c>
      <c r="C908" s="22" t="s">
        <v>15</v>
      </c>
      <c r="D908" s="22">
        <v>0</v>
      </c>
      <c r="E908" s="22">
        <v>0</v>
      </c>
      <c r="F908" s="22">
        <v>0</v>
      </c>
      <c r="G908" s="22">
        <v>0</v>
      </c>
      <c r="H908" s="22">
        <v>0</v>
      </c>
      <c r="I908" s="22">
        <v>0</v>
      </c>
      <c r="J908" s="23">
        <v>1688</v>
      </c>
    </row>
    <row r="909" spans="1:10" x14ac:dyDescent="0.3">
      <c r="A909" s="20">
        <v>8792009665</v>
      </c>
      <c r="B909" s="21">
        <v>42499</v>
      </c>
      <c r="C909" s="22" t="s">
        <v>16</v>
      </c>
      <c r="D909" s="22">
        <v>1</v>
      </c>
      <c r="E909" s="22">
        <v>0</v>
      </c>
      <c r="F909" s="22">
        <v>0</v>
      </c>
      <c r="G909" s="22">
        <v>0</v>
      </c>
      <c r="H909" s="22">
        <v>0</v>
      </c>
      <c r="I909" s="22">
        <v>0</v>
      </c>
      <c r="J909" s="23">
        <v>1688</v>
      </c>
    </row>
    <row r="910" spans="1:10" x14ac:dyDescent="0.3">
      <c r="A910" s="20">
        <v>8792009665</v>
      </c>
      <c r="B910" s="21">
        <v>42500</v>
      </c>
      <c r="C910" s="22" t="s">
        <v>10</v>
      </c>
      <c r="D910" s="22">
        <v>2</v>
      </c>
      <c r="E910" s="22">
        <v>0</v>
      </c>
      <c r="F910" s="22">
        <v>0</v>
      </c>
      <c r="G910" s="22">
        <v>0</v>
      </c>
      <c r="H910" s="22">
        <v>0</v>
      </c>
      <c r="I910" s="22">
        <v>0</v>
      </c>
      <c r="J910" s="23">
        <v>57</v>
      </c>
    </row>
    <row r="911" spans="1:10" x14ac:dyDescent="0.3">
      <c r="A911" s="20">
        <v>8877689391</v>
      </c>
      <c r="B911" s="21">
        <v>42472</v>
      </c>
      <c r="C911" s="22" t="s">
        <v>10</v>
      </c>
      <c r="D911" s="22">
        <v>2</v>
      </c>
      <c r="E911" s="22">
        <v>23186</v>
      </c>
      <c r="F911" s="22">
        <v>20.399999618530298</v>
      </c>
      <c r="G911" s="22">
        <v>85</v>
      </c>
      <c r="H911" s="22">
        <v>7</v>
      </c>
      <c r="I911" s="22">
        <v>312</v>
      </c>
      <c r="J911" s="23">
        <v>3921</v>
      </c>
    </row>
    <row r="912" spans="1:10" x14ac:dyDescent="0.3">
      <c r="A912" s="20">
        <v>8877689391</v>
      </c>
      <c r="B912" s="21">
        <v>42473</v>
      </c>
      <c r="C912" s="22" t="s">
        <v>11</v>
      </c>
      <c r="D912" s="22">
        <v>3</v>
      </c>
      <c r="E912" s="22">
        <v>15337</v>
      </c>
      <c r="F912" s="22">
        <v>9.5799999237060494</v>
      </c>
      <c r="G912" s="22">
        <v>108</v>
      </c>
      <c r="H912" s="22">
        <v>18</v>
      </c>
      <c r="I912" s="22">
        <v>216</v>
      </c>
      <c r="J912" s="23">
        <v>3566</v>
      </c>
    </row>
    <row r="913" spans="1:10" x14ac:dyDescent="0.3">
      <c r="A913" s="20">
        <v>8877689391</v>
      </c>
      <c r="B913" s="21">
        <v>42474</v>
      </c>
      <c r="C913" s="22" t="s">
        <v>12</v>
      </c>
      <c r="D913" s="22">
        <v>4</v>
      </c>
      <c r="E913" s="22">
        <v>21129</v>
      </c>
      <c r="F913" s="22">
        <v>18.9799995422363</v>
      </c>
      <c r="G913" s="22">
        <v>68</v>
      </c>
      <c r="H913" s="22">
        <v>13</v>
      </c>
      <c r="I913" s="22">
        <v>298</v>
      </c>
      <c r="J913" s="23">
        <v>3793</v>
      </c>
    </row>
    <row r="914" spans="1:10" x14ac:dyDescent="0.3">
      <c r="A914" s="20">
        <v>8877689391</v>
      </c>
      <c r="B914" s="21">
        <v>42475</v>
      </c>
      <c r="C914" s="22" t="s">
        <v>13</v>
      </c>
      <c r="D914" s="22">
        <v>5</v>
      </c>
      <c r="E914" s="22">
        <v>13422</v>
      </c>
      <c r="F914" s="22">
        <v>7.1700000762939498</v>
      </c>
      <c r="G914" s="22">
        <v>106</v>
      </c>
      <c r="H914" s="22">
        <v>1</v>
      </c>
      <c r="I914" s="22">
        <v>281</v>
      </c>
      <c r="J914" s="23">
        <v>3934</v>
      </c>
    </row>
    <row r="915" spans="1:10" x14ac:dyDescent="0.3">
      <c r="A915" s="20">
        <v>8877689391</v>
      </c>
      <c r="B915" s="21">
        <v>42476</v>
      </c>
      <c r="C915" s="22" t="s">
        <v>14</v>
      </c>
      <c r="D915" s="22">
        <v>6</v>
      </c>
      <c r="E915" s="22">
        <v>29326</v>
      </c>
      <c r="F915" s="22">
        <v>25.290000915527301</v>
      </c>
      <c r="G915" s="22">
        <v>94</v>
      </c>
      <c r="H915" s="22">
        <v>29</v>
      </c>
      <c r="I915" s="22">
        <v>429</v>
      </c>
      <c r="J915" s="23">
        <v>4547</v>
      </c>
    </row>
    <row r="916" spans="1:10" x14ac:dyDescent="0.3">
      <c r="A916" s="20">
        <v>8877689391</v>
      </c>
      <c r="B916" s="21">
        <v>42477</v>
      </c>
      <c r="C916" s="22" t="s">
        <v>15</v>
      </c>
      <c r="D916" s="22">
        <v>0</v>
      </c>
      <c r="E916" s="22">
        <v>15118</v>
      </c>
      <c r="F916" s="22">
        <v>8.8699998855590803</v>
      </c>
      <c r="G916" s="22">
        <v>58</v>
      </c>
      <c r="H916" s="22">
        <v>15</v>
      </c>
      <c r="I916" s="22">
        <v>307</v>
      </c>
      <c r="J916" s="23">
        <v>3545</v>
      </c>
    </row>
    <row r="917" spans="1:10" x14ac:dyDescent="0.3">
      <c r="A917" s="20">
        <v>8877689391</v>
      </c>
      <c r="B917" s="21">
        <v>42478</v>
      </c>
      <c r="C917" s="22" t="s">
        <v>16</v>
      </c>
      <c r="D917" s="22">
        <v>1</v>
      </c>
      <c r="E917" s="22">
        <v>11423</v>
      </c>
      <c r="F917" s="22">
        <v>8.6700000762939506</v>
      </c>
      <c r="G917" s="22">
        <v>29</v>
      </c>
      <c r="H917" s="22">
        <v>5</v>
      </c>
      <c r="I917" s="22">
        <v>191</v>
      </c>
      <c r="J917" s="23">
        <v>2761</v>
      </c>
    </row>
    <row r="918" spans="1:10" x14ac:dyDescent="0.3">
      <c r="A918" s="20">
        <v>8877689391</v>
      </c>
      <c r="B918" s="21">
        <v>42479</v>
      </c>
      <c r="C918" s="22" t="s">
        <v>10</v>
      </c>
      <c r="D918" s="22">
        <v>2</v>
      </c>
      <c r="E918" s="22">
        <v>18785</v>
      </c>
      <c r="F918" s="22">
        <v>17.399999618530298</v>
      </c>
      <c r="G918" s="22">
        <v>82</v>
      </c>
      <c r="H918" s="22">
        <v>13</v>
      </c>
      <c r="I918" s="22">
        <v>214</v>
      </c>
      <c r="J918" s="23">
        <v>3676</v>
      </c>
    </row>
    <row r="919" spans="1:10" x14ac:dyDescent="0.3">
      <c r="A919" s="20">
        <v>8877689391</v>
      </c>
      <c r="B919" s="21">
        <v>42480</v>
      </c>
      <c r="C919" s="22" t="s">
        <v>11</v>
      </c>
      <c r="D919" s="22">
        <v>3</v>
      </c>
      <c r="E919" s="22">
        <v>19948</v>
      </c>
      <c r="F919" s="22">
        <v>18.110000610351602</v>
      </c>
      <c r="G919" s="22">
        <v>73</v>
      </c>
      <c r="H919" s="22">
        <v>19</v>
      </c>
      <c r="I919" s="22">
        <v>225</v>
      </c>
      <c r="J919" s="23">
        <v>3679</v>
      </c>
    </row>
    <row r="920" spans="1:10" x14ac:dyDescent="0.3">
      <c r="A920" s="20">
        <v>8877689391</v>
      </c>
      <c r="B920" s="21">
        <v>42481</v>
      </c>
      <c r="C920" s="22" t="s">
        <v>12</v>
      </c>
      <c r="D920" s="22">
        <v>4</v>
      </c>
      <c r="E920" s="22">
        <v>19377</v>
      </c>
      <c r="F920" s="22">
        <v>17.620000839233398</v>
      </c>
      <c r="G920" s="22">
        <v>82</v>
      </c>
      <c r="H920" s="22">
        <v>13</v>
      </c>
      <c r="I920" s="22">
        <v>226</v>
      </c>
      <c r="J920" s="23">
        <v>3659</v>
      </c>
    </row>
    <row r="921" spans="1:10" x14ac:dyDescent="0.3">
      <c r="A921" s="20">
        <v>8877689391</v>
      </c>
      <c r="B921" s="21">
        <v>42482</v>
      </c>
      <c r="C921" s="22" t="s">
        <v>13</v>
      </c>
      <c r="D921" s="22">
        <v>5</v>
      </c>
      <c r="E921" s="22">
        <v>18258</v>
      </c>
      <c r="F921" s="22">
        <v>16.309999465942401</v>
      </c>
      <c r="G921" s="22">
        <v>61</v>
      </c>
      <c r="H921" s="22">
        <v>2</v>
      </c>
      <c r="I921" s="22">
        <v>236</v>
      </c>
      <c r="J921" s="23">
        <v>3427</v>
      </c>
    </row>
    <row r="922" spans="1:10" x14ac:dyDescent="0.3">
      <c r="A922" s="20">
        <v>8877689391</v>
      </c>
      <c r="B922" s="21">
        <v>42483</v>
      </c>
      <c r="C922" s="22" t="s">
        <v>14</v>
      </c>
      <c r="D922" s="22">
        <v>6</v>
      </c>
      <c r="E922" s="22">
        <v>11200</v>
      </c>
      <c r="F922" s="22">
        <v>7.4299998283386204</v>
      </c>
      <c r="G922" s="22">
        <v>102</v>
      </c>
      <c r="H922" s="22">
        <v>6</v>
      </c>
      <c r="I922" s="22">
        <v>300</v>
      </c>
      <c r="J922" s="23">
        <v>3891</v>
      </c>
    </row>
    <row r="923" spans="1:10" x14ac:dyDescent="0.3">
      <c r="A923" s="20">
        <v>8877689391</v>
      </c>
      <c r="B923" s="21">
        <v>42484</v>
      </c>
      <c r="C923" s="22" t="s">
        <v>15</v>
      </c>
      <c r="D923" s="22">
        <v>0</v>
      </c>
      <c r="E923" s="22">
        <v>16674</v>
      </c>
      <c r="F923" s="22">
        <v>15.7399997711182</v>
      </c>
      <c r="G923" s="22">
        <v>64</v>
      </c>
      <c r="H923" s="22">
        <v>1</v>
      </c>
      <c r="I923" s="22">
        <v>227</v>
      </c>
      <c r="J923" s="23">
        <v>3455</v>
      </c>
    </row>
    <row r="924" spans="1:10" x14ac:dyDescent="0.3">
      <c r="A924" s="20">
        <v>8877689391</v>
      </c>
      <c r="B924" s="21">
        <v>42485</v>
      </c>
      <c r="C924" s="22" t="s">
        <v>16</v>
      </c>
      <c r="D924" s="22">
        <v>1</v>
      </c>
      <c r="E924" s="22">
        <v>12986</v>
      </c>
      <c r="F924" s="22">
        <v>8.7399997711181605</v>
      </c>
      <c r="G924" s="22">
        <v>113</v>
      </c>
      <c r="H924" s="22">
        <v>8</v>
      </c>
      <c r="I924" s="22">
        <v>218</v>
      </c>
      <c r="J924" s="23">
        <v>3802</v>
      </c>
    </row>
    <row r="925" spans="1:10" x14ac:dyDescent="0.3">
      <c r="A925" s="20">
        <v>8877689391</v>
      </c>
      <c r="B925" s="21">
        <v>42486</v>
      </c>
      <c r="C925" s="22" t="s">
        <v>10</v>
      </c>
      <c r="D925" s="22">
        <v>2</v>
      </c>
      <c r="E925" s="22">
        <v>11101</v>
      </c>
      <c r="F925" s="22">
        <v>8.4300003051757795</v>
      </c>
      <c r="G925" s="22">
        <v>22</v>
      </c>
      <c r="H925" s="22">
        <v>3</v>
      </c>
      <c r="I925" s="22">
        <v>258</v>
      </c>
      <c r="J925" s="23">
        <v>2860</v>
      </c>
    </row>
    <row r="926" spans="1:10" x14ac:dyDescent="0.3">
      <c r="A926" s="20">
        <v>8877689391</v>
      </c>
      <c r="B926" s="21">
        <v>42487</v>
      </c>
      <c r="C926" s="22" t="s">
        <v>11</v>
      </c>
      <c r="D926" s="22">
        <v>3</v>
      </c>
      <c r="E926" s="22">
        <v>23629</v>
      </c>
      <c r="F926" s="22">
        <v>20.649999618530298</v>
      </c>
      <c r="G926" s="22">
        <v>93</v>
      </c>
      <c r="H926" s="22">
        <v>8</v>
      </c>
      <c r="I926" s="22">
        <v>235</v>
      </c>
      <c r="J926" s="23">
        <v>3808</v>
      </c>
    </row>
    <row r="927" spans="1:10" x14ac:dyDescent="0.3">
      <c r="A927" s="20">
        <v>8877689391</v>
      </c>
      <c r="B927" s="21">
        <v>42488</v>
      </c>
      <c r="C927" s="22" t="s">
        <v>12</v>
      </c>
      <c r="D927" s="22">
        <v>4</v>
      </c>
      <c r="E927" s="22">
        <v>14890</v>
      </c>
      <c r="F927" s="22">
        <v>11.300000190734901</v>
      </c>
      <c r="G927" s="22">
        <v>58</v>
      </c>
      <c r="H927" s="22">
        <v>8</v>
      </c>
      <c r="I927" s="22">
        <v>231</v>
      </c>
      <c r="J927" s="23">
        <v>3060</v>
      </c>
    </row>
    <row r="928" spans="1:10" x14ac:dyDescent="0.3">
      <c r="A928" s="20">
        <v>8877689391</v>
      </c>
      <c r="B928" s="21">
        <v>42489</v>
      </c>
      <c r="C928" s="22" t="s">
        <v>13</v>
      </c>
      <c r="D928" s="22">
        <v>5</v>
      </c>
      <c r="E928" s="22">
        <v>9733</v>
      </c>
      <c r="F928" s="22">
        <v>7.3899998664856001</v>
      </c>
      <c r="G928" s="22">
        <v>18</v>
      </c>
      <c r="H928" s="22">
        <v>5</v>
      </c>
      <c r="I928" s="22">
        <v>210</v>
      </c>
      <c r="J928" s="23">
        <v>2698</v>
      </c>
    </row>
    <row r="929" spans="1:10" x14ac:dyDescent="0.3">
      <c r="A929" s="20">
        <v>8877689391</v>
      </c>
      <c r="B929" s="21">
        <v>42490</v>
      </c>
      <c r="C929" s="22" t="s">
        <v>14</v>
      </c>
      <c r="D929" s="22">
        <v>6</v>
      </c>
      <c r="E929" s="22">
        <v>27745</v>
      </c>
      <c r="F929" s="22">
        <v>26.719999313354499</v>
      </c>
      <c r="G929" s="22">
        <v>124</v>
      </c>
      <c r="H929" s="22">
        <v>4</v>
      </c>
      <c r="I929" s="22">
        <v>223</v>
      </c>
      <c r="J929" s="23">
        <v>4398</v>
      </c>
    </row>
    <row r="930" spans="1:10" x14ac:dyDescent="0.3">
      <c r="A930" s="20">
        <v>8877689391</v>
      </c>
      <c r="B930" s="21">
        <v>42491</v>
      </c>
      <c r="C930" s="22" t="s">
        <v>15</v>
      </c>
      <c r="D930" s="22">
        <v>0</v>
      </c>
      <c r="E930" s="22">
        <v>10930</v>
      </c>
      <c r="F930" s="22">
        <v>8.3199996948242205</v>
      </c>
      <c r="G930" s="22">
        <v>36</v>
      </c>
      <c r="H930" s="22">
        <v>12</v>
      </c>
      <c r="I930" s="22">
        <v>166</v>
      </c>
      <c r="J930" s="23">
        <v>2786</v>
      </c>
    </row>
    <row r="931" spans="1:10" x14ac:dyDescent="0.3">
      <c r="A931" s="20">
        <v>8877689391</v>
      </c>
      <c r="B931" s="21">
        <v>42492</v>
      </c>
      <c r="C931" s="22" t="s">
        <v>16</v>
      </c>
      <c r="D931" s="22">
        <v>1</v>
      </c>
      <c r="E931" s="22">
        <v>4790</v>
      </c>
      <c r="F931" s="22">
        <v>3.6400001049041699</v>
      </c>
      <c r="G931" s="22">
        <v>0</v>
      </c>
      <c r="H931" s="22">
        <v>0</v>
      </c>
      <c r="I931" s="22">
        <v>105</v>
      </c>
      <c r="J931" s="23">
        <v>2189</v>
      </c>
    </row>
    <row r="932" spans="1:10" x14ac:dyDescent="0.3">
      <c r="A932" s="20">
        <v>8877689391</v>
      </c>
      <c r="B932" s="21">
        <v>42493</v>
      </c>
      <c r="C932" s="22" t="s">
        <v>10</v>
      </c>
      <c r="D932" s="22">
        <v>2</v>
      </c>
      <c r="E932" s="22">
        <v>10818</v>
      </c>
      <c r="F932" s="22">
        <v>8.2100000381469709</v>
      </c>
      <c r="G932" s="22">
        <v>19</v>
      </c>
      <c r="H932" s="22">
        <v>3</v>
      </c>
      <c r="I932" s="22">
        <v>229</v>
      </c>
      <c r="J932" s="23">
        <v>2817</v>
      </c>
    </row>
    <row r="933" spans="1:10" x14ac:dyDescent="0.3">
      <c r="A933" s="20">
        <v>8877689391</v>
      </c>
      <c r="B933" s="21">
        <v>42494</v>
      </c>
      <c r="C933" s="22" t="s">
        <v>11</v>
      </c>
      <c r="D933" s="22">
        <v>3</v>
      </c>
      <c r="E933" s="22">
        <v>18193</v>
      </c>
      <c r="F933" s="22">
        <v>16.299999237060501</v>
      </c>
      <c r="G933" s="22">
        <v>66</v>
      </c>
      <c r="H933" s="22">
        <v>8</v>
      </c>
      <c r="I933" s="22">
        <v>212</v>
      </c>
      <c r="J933" s="23">
        <v>3477</v>
      </c>
    </row>
    <row r="934" spans="1:10" x14ac:dyDescent="0.3">
      <c r="A934" s="20">
        <v>8877689391</v>
      </c>
      <c r="B934" s="21">
        <v>42495</v>
      </c>
      <c r="C934" s="22" t="s">
        <v>12</v>
      </c>
      <c r="D934" s="22">
        <v>4</v>
      </c>
      <c r="E934" s="22">
        <v>14055</v>
      </c>
      <c r="F934" s="22">
        <v>10.670000076293899</v>
      </c>
      <c r="G934" s="22">
        <v>67</v>
      </c>
      <c r="H934" s="22">
        <v>15</v>
      </c>
      <c r="I934" s="22">
        <v>188</v>
      </c>
      <c r="J934" s="23">
        <v>3052</v>
      </c>
    </row>
    <row r="935" spans="1:10" x14ac:dyDescent="0.3">
      <c r="A935" s="20">
        <v>8877689391</v>
      </c>
      <c r="B935" s="21">
        <v>42496</v>
      </c>
      <c r="C935" s="22" t="s">
        <v>13</v>
      </c>
      <c r="D935" s="22">
        <v>5</v>
      </c>
      <c r="E935" s="22">
        <v>21727</v>
      </c>
      <c r="F935" s="22">
        <v>19.340000152587901</v>
      </c>
      <c r="G935" s="22">
        <v>96</v>
      </c>
      <c r="H935" s="22">
        <v>17</v>
      </c>
      <c r="I935" s="22">
        <v>232</v>
      </c>
      <c r="J935" s="23">
        <v>4015</v>
      </c>
    </row>
    <row r="936" spans="1:10" x14ac:dyDescent="0.3">
      <c r="A936" s="20">
        <v>8877689391</v>
      </c>
      <c r="B936" s="21">
        <v>42497</v>
      </c>
      <c r="C936" s="22" t="s">
        <v>14</v>
      </c>
      <c r="D936" s="22">
        <v>6</v>
      </c>
      <c r="E936" s="22">
        <v>12332</v>
      </c>
      <c r="F936" s="22">
        <v>8.1300001144409197</v>
      </c>
      <c r="G936" s="22">
        <v>105</v>
      </c>
      <c r="H936" s="22">
        <v>28</v>
      </c>
      <c r="I936" s="22">
        <v>271</v>
      </c>
      <c r="J936" s="23">
        <v>4142</v>
      </c>
    </row>
    <row r="937" spans="1:10" x14ac:dyDescent="0.3">
      <c r="A937" s="20">
        <v>8877689391</v>
      </c>
      <c r="B937" s="21">
        <v>42498</v>
      </c>
      <c r="C937" s="22" t="s">
        <v>15</v>
      </c>
      <c r="D937" s="22">
        <v>0</v>
      </c>
      <c r="E937" s="22">
        <v>10686</v>
      </c>
      <c r="F937" s="22">
        <v>8.1099996566772496</v>
      </c>
      <c r="G937" s="22">
        <v>17</v>
      </c>
      <c r="H937" s="22">
        <v>4</v>
      </c>
      <c r="I937" s="22">
        <v>245</v>
      </c>
      <c r="J937" s="23">
        <v>2847</v>
      </c>
    </row>
    <row r="938" spans="1:10" x14ac:dyDescent="0.3">
      <c r="A938" s="20">
        <v>8877689391</v>
      </c>
      <c r="B938" s="21">
        <v>42499</v>
      </c>
      <c r="C938" s="22" t="s">
        <v>16</v>
      </c>
      <c r="D938" s="22">
        <v>1</v>
      </c>
      <c r="E938" s="22">
        <v>20226</v>
      </c>
      <c r="F938" s="22">
        <v>18.25</v>
      </c>
      <c r="G938" s="22">
        <v>73</v>
      </c>
      <c r="H938" s="22">
        <v>19</v>
      </c>
      <c r="I938" s="22">
        <v>217</v>
      </c>
      <c r="J938" s="23">
        <v>3710</v>
      </c>
    </row>
    <row r="939" spans="1:10" x14ac:dyDescent="0.3">
      <c r="A939" s="20">
        <v>8877689391</v>
      </c>
      <c r="B939" s="21">
        <v>42500</v>
      </c>
      <c r="C939" s="22" t="s">
        <v>10</v>
      </c>
      <c r="D939" s="22">
        <v>2</v>
      </c>
      <c r="E939" s="22">
        <v>10733</v>
      </c>
      <c r="F939" s="22">
        <v>8.1499996185302699</v>
      </c>
      <c r="G939" s="22">
        <v>18</v>
      </c>
      <c r="H939" s="22">
        <v>11</v>
      </c>
      <c r="I939" s="22">
        <v>224</v>
      </c>
      <c r="J939" s="23">
        <v>2832</v>
      </c>
    </row>
    <row r="940" spans="1:10" x14ac:dyDescent="0.3">
      <c r="A940" s="20">
        <v>8877689391</v>
      </c>
      <c r="B940" s="21">
        <v>42501</v>
      </c>
      <c r="C940" s="22" t="s">
        <v>11</v>
      </c>
      <c r="D940" s="22">
        <v>3</v>
      </c>
      <c r="E940" s="22">
        <v>21420</v>
      </c>
      <c r="F940" s="22">
        <v>19.559999465942401</v>
      </c>
      <c r="G940" s="22">
        <v>88</v>
      </c>
      <c r="H940" s="22">
        <v>12</v>
      </c>
      <c r="I940" s="22">
        <v>213</v>
      </c>
      <c r="J940" s="23">
        <v>3832</v>
      </c>
    </row>
    <row r="941" spans="1:10" x14ac:dyDescent="0.3">
      <c r="A941" s="24">
        <v>8877689391</v>
      </c>
      <c r="B941" s="25">
        <v>42502</v>
      </c>
      <c r="C941" s="26" t="s">
        <v>12</v>
      </c>
      <c r="D941" s="26">
        <v>4</v>
      </c>
      <c r="E941" s="26">
        <v>8064</v>
      </c>
      <c r="F941" s="26">
        <v>6.1199998855590803</v>
      </c>
      <c r="G941" s="26">
        <v>23</v>
      </c>
      <c r="H941" s="26">
        <v>1</v>
      </c>
      <c r="I941" s="26">
        <v>137</v>
      </c>
      <c r="J941" s="27">
        <v>1849</v>
      </c>
    </row>
  </sheetData>
  <mergeCells count="1">
    <mergeCell ref="L2:P1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4"/>
  <sheetViews>
    <sheetView showGridLines="0" workbookViewId="0"/>
  </sheetViews>
  <sheetFormatPr defaultColWidth="10.77734375" defaultRowHeight="14.4" x14ac:dyDescent="0.3"/>
  <cols>
    <col min="1" max="1" width="11" bestFit="1" customWidth="1"/>
    <col min="2" max="2" width="10.21875" bestFit="1" customWidth="1"/>
    <col min="3" max="3" width="17.5546875" bestFit="1" customWidth="1"/>
    <col min="4" max="4" width="15.5546875" bestFit="1" customWidth="1"/>
    <col min="5" max="5" width="16.88671875" bestFit="1" customWidth="1"/>
    <col min="6" max="6" width="9.77734375" bestFit="1" customWidth="1"/>
    <col min="7" max="7" width="12.88671875" bestFit="1" customWidth="1"/>
    <col min="8" max="8" width="11.77734375" bestFit="1" customWidth="1"/>
    <col min="9" max="9" width="15" bestFit="1" customWidth="1"/>
    <col min="10" max="10" width="18.5546875" bestFit="1" customWidth="1"/>
    <col min="11" max="11" width="17.44140625" bestFit="1" customWidth="1"/>
    <col min="12" max="12" width="16.77734375" bestFit="1" customWidth="1"/>
    <col min="13" max="13" width="5.21875" customWidth="1"/>
    <col min="14" max="14" width="11.77734375" customWidth="1"/>
    <col min="15" max="15" width="12.33203125" customWidth="1"/>
  </cols>
  <sheetData>
    <row r="1" spans="1:15" x14ac:dyDescent="0.3">
      <c r="A1" s="5" t="s">
        <v>0</v>
      </c>
      <c r="B1" s="5" t="s">
        <v>17</v>
      </c>
      <c r="C1" s="5" t="s">
        <v>18</v>
      </c>
      <c r="D1" s="5" t="s">
        <v>19</v>
      </c>
      <c r="E1" s="5" t="s">
        <v>20</v>
      </c>
      <c r="F1" s="5" t="s">
        <v>2</v>
      </c>
      <c r="G1" s="5" t="s">
        <v>21</v>
      </c>
      <c r="H1" s="5" t="s">
        <v>22</v>
      </c>
      <c r="I1" s="5" t="s">
        <v>23</v>
      </c>
      <c r="J1" s="5" t="s">
        <v>24</v>
      </c>
      <c r="K1" s="5" t="s">
        <v>25</v>
      </c>
      <c r="L1" s="4" t="s">
        <v>26</v>
      </c>
    </row>
    <row r="2" spans="1:15" ht="14.4" customHeight="1" x14ac:dyDescent="0.3">
      <c r="A2" s="6" cm="1">
        <f t="array" ref="A2:A34">_xlfn.UNIQUE('Daily Activity Cleaned'!A2:A941)</f>
        <v>1503960366</v>
      </c>
      <c r="B2" s="6">
        <f>COUNTIF('Daily Activity Cleaned'!$A$2:$B$941,'Q1-8 (By Id)'!A2)</f>
        <v>31</v>
      </c>
      <c r="C2" s="6" t="str">
        <f>IF(B2&gt;20,"Active",IF(B2&lt;10,"Light","Moderate"))</f>
        <v>Active</v>
      </c>
      <c r="D2" s="8">
        <f ca="1">AVERAGEIF('Daily Activity Cleaned'!$A$2:$F$941,'Q1-8 (By Id)'!A2,'Daily Activity Cleaned'!$F$2:$F$941)</f>
        <v>7.8096773855147834</v>
      </c>
      <c r="E2" s="6" t="str">
        <f ca="1">IF(D2&gt;9, "Pro", IF(D2&lt;5, "Beginner", "Intermediate"))</f>
        <v>Intermediate</v>
      </c>
      <c r="F2" s="6">
        <f ca="1">SUMIF('Daily Activity Cleaned'!$A$2:$E$941,'Q1-8 (By Id)'!A2,'Daily Activity Cleaned'!$E$2:$E$941)</f>
        <v>375619</v>
      </c>
      <c r="G2" s="8">
        <f ca="1">F2/B2</f>
        <v>12116.741935483871</v>
      </c>
      <c r="H2" s="6">
        <f ca="1">SUMIF('Daily Activity Cleaned'!$A$2:$J$941,'Q1-8 (By Id)'!A2,'Daily Activity Cleaned'!$J$2:$J$941)</f>
        <v>56309</v>
      </c>
      <c r="I2" s="8">
        <f ca="1">H2/B2</f>
        <v>1816.4193548387098</v>
      </c>
      <c r="J2" s="8">
        <f ca="1">AVERAGEIF('Daily Activity Cleaned'!$A$2:$I$941,'Q1-8 (By Id)'!A2,'Daily Activity Cleaned'!$I$2:$I$941)</f>
        <v>219.93548387096774</v>
      </c>
      <c r="K2" s="8">
        <f ca="1">AVERAGEIF('Daily Activity Cleaned'!$A$2:$H$941,'Q1-8 (By Id)'!A2,'Daily Activity Cleaned'!$H$2:$H$941)</f>
        <v>19.161290322580644</v>
      </c>
      <c r="L2" s="2">
        <f ca="1">AVERAGEIF('Daily Activity Cleaned'!$A$2:$G$941,'Q1-8 (By Id)'!A2,'Daily Activity Cleaned'!$G$2:$G$941)</f>
        <v>38.70967741935484</v>
      </c>
      <c r="N2" s="29" t="s">
        <v>34</v>
      </c>
      <c r="O2" s="31"/>
    </row>
    <row r="3" spans="1:15" x14ac:dyDescent="0.3">
      <c r="A3" s="6">
        <v>1624580081</v>
      </c>
      <c r="B3" s="6">
        <f>COUNTIF('Daily Activity Cleaned'!$A$2:$B$941,'Q1-8 (By Id)'!A3)</f>
        <v>31</v>
      </c>
      <c r="C3" s="6" t="str">
        <f t="shared" ref="C3:C34" si="0">IF(B3&gt;20,"Active",IF(B3&lt;10,"Light","Moderate"))</f>
        <v>Active</v>
      </c>
      <c r="D3" s="8">
        <f ca="1">AVERAGEIF('Daily Activity Cleaned'!$A$2:$F$941,'Q1-8 (By Id)'!A3,'Daily Activity Cleaned'!$F$2:$F$941)</f>
        <v>3.9148387293661795</v>
      </c>
      <c r="E3" s="6" t="str">
        <f t="shared" ref="E3:E34" ca="1" si="1">IF(D3&gt;9, "Pro", IF(D3&lt;5, "Beginner", "Intermediate"))</f>
        <v>Beginner</v>
      </c>
      <c r="F3" s="6">
        <f ca="1">SUMIF('Daily Activity Cleaned'!$A$2:$E$941,'Q1-8 (By Id)'!A3,'Daily Activity Cleaned'!$E$2:$E$941)</f>
        <v>178061</v>
      </c>
      <c r="G3" s="8">
        <f t="shared" ref="G3:G34" ca="1" si="2">F3/B3</f>
        <v>5743.9032258064517</v>
      </c>
      <c r="H3" s="6">
        <f ca="1">SUMIF('Daily Activity Cleaned'!$A$2:$J$941,'Q1-8 (By Id)'!A3,'Daily Activity Cleaned'!$J$2:$J$941)</f>
        <v>45984</v>
      </c>
      <c r="I3" s="8">
        <f t="shared" ref="I3:I34" ca="1" si="3">H3/B3</f>
        <v>1483.3548387096773</v>
      </c>
      <c r="J3" s="8">
        <f ca="1">AVERAGEIF('Daily Activity Cleaned'!$A$2:$I$941,'Q1-8 (By Id)'!A3,'Daily Activity Cleaned'!$I$2:$I$941)</f>
        <v>153.48387096774192</v>
      </c>
      <c r="K3" s="8">
        <f ca="1">AVERAGEIF('Daily Activity Cleaned'!$A$2:$H$941,'Q1-8 (By Id)'!A3,'Daily Activity Cleaned'!$H$2:$H$941)</f>
        <v>5.806451612903226</v>
      </c>
      <c r="L3" s="2">
        <f ca="1">AVERAGEIF('Daily Activity Cleaned'!$A$2:$G$941,'Q1-8 (By Id)'!A3,'Daily Activity Cleaned'!$G$2:$G$941)</f>
        <v>8.67741935483871</v>
      </c>
      <c r="N3" s="32"/>
      <c r="O3" s="34"/>
    </row>
    <row r="4" spans="1:15" x14ac:dyDescent="0.3">
      <c r="A4" s="6">
        <v>1644430081</v>
      </c>
      <c r="B4" s="6">
        <f>COUNTIF('Daily Activity Cleaned'!$A$2:$B$941,'Q1-8 (By Id)'!A4)</f>
        <v>30</v>
      </c>
      <c r="C4" s="6" t="str">
        <f t="shared" si="0"/>
        <v>Active</v>
      </c>
      <c r="D4" s="8">
        <f ca="1">AVERAGEIF('Daily Activity Cleaned'!$A$2:$F$941,'Q1-8 (By Id)'!A4,'Daily Activity Cleaned'!$F$2:$F$941)</f>
        <v>5.2953333536783873</v>
      </c>
      <c r="E4" s="6" t="str">
        <f t="shared" ca="1" si="1"/>
        <v>Intermediate</v>
      </c>
      <c r="F4" s="6">
        <f ca="1">SUMIF('Daily Activity Cleaned'!$A$2:$E$941,'Q1-8 (By Id)'!A4,'Daily Activity Cleaned'!$E$2:$E$941)</f>
        <v>218489</v>
      </c>
      <c r="G4" s="8">
        <f t="shared" ca="1" si="2"/>
        <v>7282.9666666666662</v>
      </c>
      <c r="H4" s="6">
        <f ca="1">SUMIF('Daily Activity Cleaned'!$A$2:$J$941,'Q1-8 (By Id)'!A4,'Daily Activity Cleaned'!$J$2:$J$941)</f>
        <v>84339</v>
      </c>
      <c r="I4" s="8">
        <f t="shared" ca="1" si="3"/>
        <v>2811.3</v>
      </c>
      <c r="J4" s="8">
        <f ca="1">AVERAGEIF('Daily Activity Cleaned'!$A$2:$I$941,'Q1-8 (By Id)'!A4,'Daily Activity Cleaned'!$I$2:$I$941)</f>
        <v>178.46666666666667</v>
      </c>
      <c r="K4" s="8">
        <f ca="1">AVERAGEIF('Daily Activity Cleaned'!$A$2:$H$941,'Q1-8 (By Id)'!A4,'Daily Activity Cleaned'!$H$2:$H$941)</f>
        <v>21.366666666666667</v>
      </c>
      <c r="L4" s="2">
        <f ca="1">AVERAGEIF('Daily Activity Cleaned'!$A$2:$G$941,'Q1-8 (By Id)'!A4,'Daily Activity Cleaned'!$G$2:$G$941)</f>
        <v>9.5666666666666664</v>
      </c>
      <c r="N4" s="32"/>
      <c r="O4" s="34"/>
    </row>
    <row r="5" spans="1:15" x14ac:dyDescent="0.3">
      <c r="A5" s="6">
        <v>1844505072</v>
      </c>
      <c r="B5" s="6">
        <f>COUNTIF('Daily Activity Cleaned'!$A$2:$B$941,'Q1-8 (By Id)'!A5)</f>
        <v>31</v>
      </c>
      <c r="C5" s="6" t="str">
        <f t="shared" si="0"/>
        <v>Active</v>
      </c>
      <c r="D5" s="8">
        <f ca="1">AVERAGEIF('Daily Activity Cleaned'!$A$2:$F$941,'Q1-8 (By Id)'!A5,'Daily Activity Cleaned'!$F$2:$F$941)</f>
        <v>1.7061290368437778</v>
      </c>
      <c r="E5" s="6" t="str">
        <f t="shared" ca="1" si="1"/>
        <v>Beginner</v>
      </c>
      <c r="F5" s="6">
        <f ca="1">SUMIF('Daily Activity Cleaned'!$A$2:$E$941,'Q1-8 (By Id)'!A5,'Daily Activity Cleaned'!$E$2:$E$941)</f>
        <v>79982</v>
      </c>
      <c r="G5" s="8">
        <f t="shared" ca="1" si="2"/>
        <v>2580.0645161290322</v>
      </c>
      <c r="H5" s="6">
        <f ca="1">SUMIF('Daily Activity Cleaned'!$A$2:$J$941,'Q1-8 (By Id)'!A5,'Daily Activity Cleaned'!$J$2:$J$941)</f>
        <v>48778</v>
      </c>
      <c r="I5" s="8">
        <f t="shared" ca="1" si="3"/>
        <v>1573.483870967742</v>
      </c>
      <c r="J5" s="8">
        <f ca="1">AVERAGEIF('Daily Activity Cleaned'!$A$2:$I$941,'Q1-8 (By Id)'!A5,'Daily Activity Cleaned'!$I$2:$I$941)</f>
        <v>115.45161290322581</v>
      </c>
      <c r="K5" s="8">
        <f ca="1">AVERAGEIF('Daily Activity Cleaned'!$A$2:$H$941,'Q1-8 (By Id)'!A5,'Daily Activity Cleaned'!$H$2:$H$941)</f>
        <v>1.2903225806451613</v>
      </c>
      <c r="L5" s="2">
        <f ca="1">AVERAGEIF('Daily Activity Cleaned'!$A$2:$G$941,'Q1-8 (By Id)'!A5,'Daily Activity Cleaned'!$G$2:$G$941)</f>
        <v>0.12903225806451613</v>
      </c>
      <c r="N5" s="32"/>
      <c r="O5" s="34"/>
    </row>
    <row r="6" spans="1:15" x14ac:dyDescent="0.3">
      <c r="A6" s="6">
        <v>1927972279</v>
      </c>
      <c r="B6" s="6">
        <f>COUNTIF('Daily Activity Cleaned'!$A$2:$B$941,'Q1-8 (By Id)'!A6)</f>
        <v>31</v>
      </c>
      <c r="C6" s="6" t="str">
        <f t="shared" si="0"/>
        <v>Active</v>
      </c>
      <c r="D6" s="8">
        <f ca="1">AVERAGEIF('Daily Activity Cleaned'!$A$2:$F$941,'Q1-8 (By Id)'!A6,'Daily Activity Cleaned'!$F$2:$F$941)</f>
        <v>0.63451612308140759</v>
      </c>
      <c r="E6" s="6" t="str">
        <f t="shared" ca="1" si="1"/>
        <v>Beginner</v>
      </c>
      <c r="F6" s="6">
        <f ca="1">SUMIF('Daily Activity Cleaned'!$A$2:$E$941,'Q1-8 (By Id)'!A6,'Daily Activity Cleaned'!$E$2:$E$941)</f>
        <v>28400</v>
      </c>
      <c r="G6" s="8">
        <f t="shared" ca="1" si="2"/>
        <v>916.12903225806451</v>
      </c>
      <c r="H6" s="6">
        <f ca="1">SUMIF('Daily Activity Cleaned'!$A$2:$J$941,'Q1-8 (By Id)'!A6,'Daily Activity Cleaned'!$J$2:$J$941)</f>
        <v>67357</v>
      </c>
      <c r="I6" s="8">
        <f t="shared" ca="1" si="3"/>
        <v>2172.8064516129034</v>
      </c>
      <c r="J6" s="8">
        <f ca="1">AVERAGEIF('Daily Activity Cleaned'!$A$2:$I$941,'Q1-8 (By Id)'!A6,'Daily Activity Cleaned'!$I$2:$I$941)</f>
        <v>38.58064516129032</v>
      </c>
      <c r="K6" s="8">
        <f ca="1">AVERAGEIF('Daily Activity Cleaned'!$A$2:$H$941,'Q1-8 (By Id)'!A6,'Daily Activity Cleaned'!$H$2:$H$941)</f>
        <v>0.77419354838709675</v>
      </c>
      <c r="L6" s="2">
        <f ca="1">AVERAGEIF('Daily Activity Cleaned'!$A$2:$G$941,'Q1-8 (By Id)'!A6,'Daily Activity Cleaned'!$G$2:$G$941)</f>
        <v>1.3225806451612903</v>
      </c>
      <c r="N6" s="32"/>
      <c r="O6" s="34"/>
    </row>
    <row r="7" spans="1:15" x14ac:dyDescent="0.3">
      <c r="A7" s="6">
        <v>2022484408</v>
      </c>
      <c r="B7" s="6">
        <f>COUNTIF('Daily Activity Cleaned'!$A$2:$B$941,'Q1-8 (By Id)'!A7)</f>
        <v>31</v>
      </c>
      <c r="C7" s="6" t="str">
        <f t="shared" si="0"/>
        <v>Active</v>
      </c>
      <c r="D7" s="8">
        <f ca="1">AVERAGEIF('Daily Activity Cleaned'!$A$2:$F$941,'Q1-8 (By Id)'!A7,'Daily Activity Cleaned'!$F$2:$F$941)</f>
        <v>8.0841934911666371</v>
      </c>
      <c r="E7" s="6" t="str">
        <f t="shared" ca="1" si="1"/>
        <v>Intermediate</v>
      </c>
      <c r="F7" s="6">
        <f ca="1">SUMIF('Daily Activity Cleaned'!$A$2:$E$941,'Q1-8 (By Id)'!A7,'Daily Activity Cleaned'!$E$2:$E$941)</f>
        <v>352490</v>
      </c>
      <c r="G7" s="8">
        <f t="shared" ca="1" si="2"/>
        <v>11370.645161290322</v>
      </c>
      <c r="H7" s="6">
        <f ca="1">SUMIF('Daily Activity Cleaned'!$A$2:$J$941,'Q1-8 (By Id)'!A7,'Daily Activity Cleaned'!$J$2:$J$941)</f>
        <v>77809</v>
      </c>
      <c r="I7" s="8">
        <f t="shared" ca="1" si="3"/>
        <v>2509.9677419354839</v>
      </c>
      <c r="J7" s="8">
        <f ca="1">AVERAGEIF('Daily Activity Cleaned'!$A$2:$I$941,'Q1-8 (By Id)'!A7,'Daily Activity Cleaned'!$I$2:$I$941)</f>
        <v>257.45161290322579</v>
      </c>
      <c r="K7" s="8">
        <f ca="1">AVERAGEIF('Daily Activity Cleaned'!$A$2:$H$941,'Q1-8 (By Id)'!A7,'Daily Activity Cleaned'!$H$2:$H$941)</f>
        <v>19.35483870967742</v>
      </c>
      <c r="L7" s="2">
        <f ca="1">AVERAGEIF('Daily Activity Cleaned'!$A$2:$G$941,'Q1-8 (By Id)'!A7,'Daily Activity Cleaned'!$G$2:$G$941)</f>
        <v>36.29032258064516</v>
      </c>
      <c r="N7" s="32"/>
      <c r="O7" s="34"/>
    </row>
    <row r="8" spans="1:15" x14ac:dyDescent="0.3">
      <c r="A8" s="6">
        <v>2026352035</v>
      </c>
      <c r="B8" s="6">
        <f>COUNTIF('Daily Activity Cleaned'!$A$2:$B$941,'Q1-8 (By Id)'!A8)</f>
        <v>31</v>
      </c>
      <c r="C8" s="6" t="str">
        <f t="shared" si="0"/>
        <v>Active</v>
      </c>
      <c r="D8" s="8">
        <f ca="1">AVERAGEIF('Daily Activity Cleaned'!$A$2:$F$941,'Q1-8 (By Id)'!A8,'Daily Activity Cleaned'!$F$2:$F$941)</f>
        <v>3.4548387152533384</v>
      </c>
      <c r="E8" s="6" t="str">
        <f t="shared" ca="1" si="1"/>
        <v>Beginner</v>
      </c>
      <c r="F8" s="6">
        <f ca="1">SUMIF('Daily Activity Cleaned'!$A$2:$E$941,'Q1-8 (By Id)'!A8,'Daily Activity Cleaned'!$E$2:$E$941)</f>
        <v>172573</v>
      </c>
      <c r="G8" s="8">
        <f t="shared" ca="1" si="2"/>
        <v>5566.8709677419356</v>
      </c>
      <c r="H8" s="6">
        <f ca="1">SUMIF('Daily Activity Cleaned'!$A$2:$J$941,'Q1-8 (By Id)'!A8,'Daily Activity Cleaned'!$J$2:$J$941)</f>
        <v>47760</v>
      </c>
      <c r="I8" s="8">
        <f t="shared" ca="1" si="3"/>
        <v>1540.6451612903227</v>
      </c>
      <c r="J8" s="8">
        <f ca="1">AVERAGEIF('Daily Activity Cleaned'!$A$2:$I$941,'Q1-8 (By Id)'!A8,'Daily Activity Cleaned'!$I$2:$I$941)</f>
        <v>256.64516129032256</v>
      </c>
      <c r="K8" s="8">
        <f ca="1">AVERAGEIF('Daily Activity Cleaned'!$A$2:$H$941,'Q1-8 (By Id)'!A8,'Daily Activity Cleaned'!$H$2:$H$941)</f>
        <v>0.25806451612903225</v>
      </c>
      <c r="L8" s="2">
        <f ca="1">AVERAGEIF('Daily Activity Cleaned'!$A$2:$G$941,'Q1-8 (By Id)'!A8,'Daily Activity Cleaned'!$G$2:$G$941)</f>
        <v>9.6774193548387094E-2</v>
      </c>
      <c r="N8" s="32"/>
      <c r="O8" s="34"/>
    </row>
    <row r="9" spans="1:15" x14ac:dyDescent="0.3">
      <c r="A9" s="6">
        <v>2320127002</v>
      </c>
      <c r="B9" s="6">
        <f>COUNTIF('Daily Activity Cleaned'!$A$2:$B$941,'Q1-8 (By Id)'!A9)</f>
        <v>31</v>
      </c>
      <c r="C9" s="6" t="str">
        <f t="shared" si="0"/>
        <v>Active</v>
      </c>
      <c r="D9" s="8">
        <f ca="1">AVERAGEIF('Daily Activity Cleaned'!$A$2:$F$941,'Q1-8 (By Id)'!A9,'Daily Activity Cleaned'!$F$2:$F$941)</f>
        <v>3.1877419044894557</v>
      </c>
      <c r="E9" s="6" t="str">
        <f t="shared" ca="1" si="1"/>
        <v>Beginner</v>
      </c>
      <c r="F9" s="6">
        <f ca="1">SUMIF('Daily Activity Cleaned'!$A$2:$E$941,'Q1-8 (By Id)'!A9,'Daily Activity Cleaned'!$E$2:$E$941)</f>
        <v>146223</v>
      </c>
      <c r="G9" s="8">
        <f t="shared" ca="1" si="2"/>
        <v>4716.8709677419356</v>
      </c>
      <c r="H9" s="6">
        <f ca="1">SUMIF('Daily Activity Cleaned'!$A$2:$J$941,'Q1-8 (By Id)'!A9,'Daily Activity Cleaned'!$J$2:$J$941)</f>
        <v>53449</v>
      </c>
      <c r="I9" s="8">
        <f t="shared" ca="1" si="3"/>
        <v>1724.1612903225807</v>
      </c>
      <c r="J9" s="8">
        <f ca="1">AVERAGEIF('Daily Activity Cleaned'!$A$2:$I$941,'Q1-8 (By Id)'!A9,'Daily Activity Cleaned'!$I$2:$I$941)</f>
        <v>198.19354838709677</v>
      </c>
      <c r="K9" s="8">
        <f ca="1">AVERAGEIF('Daily Activity Cleaned'!$A$2:$H$941,'Q1-8 (By Id)'!A9,'Daily Activity Cleaned'!$H$2:$H$941)</f>
        <v>2.5806451612903225</v>
      </c>
      <c r="L9" s="2">
        <f ca="1">AVERAGEIF('Daily Activity Cleaned'!$A$2:$G$941,'Q1-8 (By Id)'!A9,'Daily Activity Cleaned'!$G$2:$G$941)</f>
        <v>1.3548387096774193</v>
      </c>
      <c r="N9" s="32"/>
      <c r="O9" s="34"/>
    </row>
    <row r="10" spans="1:15" x14ac:dyDescent="0.3">
      <c r="A10" s="6">
        <v>2347167796</v>
      </c>
      <c r="B10" s="6">
        <f>COUNTIF('Daily Activity Cleaned'!$A$2:$B$941,'Q1-8 (By Id)'!A10)</f>
        <v>18</v>
      </c>
      <c r="C10" s="6" t="str">
        <f t="shared" si="0"/>
        <v>Moderate</v>
      </c>
      <c r="D10" s="8">
        <f ca="1">AVERAGEIF('Daily Activity Cleaned'!$A$2:$F$941,'Q1-8 (By Id)'!A10,'Daily Activity Cleaned'!$F$2:$F$941)</f>
        <v>6.3555555359150011</v>
      </c>
      <c r="E10" s="6" t="str">
        <f t="shared" ca="1" si="1"/>
        <v>Intermediate</v>
      </c>
      <c r="F10" s="6">
        <f ca="1">SUMIF('Daily Activity Cleaned'!$A$2:$E$941,'Q1-8 (By Id)'!A10,'Daily Activity Cleaned'!$E$2:$E$941)</f>
        <v>171354</v>
      </c>
      <c r="G10" s="8">
        <f t="shared" ca="1" si="2"/>
        <v>9519.6666666666661</v>
      </c>
      <c r="H10" s="6">
        <f ca="1">SUMIF('Daily Activity Cleaned'!$A$2:$J$941,'Q1-8 (By Id)'!A10,'Daily Activity Cleaned'!$J$2:$J$941)</f>
        <v>36782</v>
      </c>
      <c r="I10" s="8">
        <f t="shared" ca="1" si="3"/>
        <v>2043.4444444444443</v>
      </c>
      <c r="J10" s="8">
        <f ca="1">AVERAGEIF('Daily Activity Cleaned'!$A$2:$I$941,'Q1-8 (By Id)'!A10,'Daily Activity Cleaned'!$I$2:$I$941)</f>
        <v>252.5</v>
      </c>
      <c r="K10" s="8">
        <f ca="1">AVERAGEIF('Daily Activity Cleaned'!$A$2:$H$941,'Q1-8 (By Id)'!A10,'Daily Activity Cleaned'!$H$2:$H$941)</f>
        <v>20.555555555555557</v>
      </c>
      <c r="L10" s="2">
        <f ca="1">AVERAGEIF('Daily Activity Cleaned'!$A$2:$G$941,'Q1-8 (By Id)'!A10,'Daily Activity Cleaned'!$G$2:$G$941)</f>
        <v>13.5</v>
      </c>
      <c r="N10" s="32"/>
      <c r="O10" s="34"/>
    </row>
    <row r="11" spans="1:15" x14ac:dyDescent="0.3">
      <c r="A11" s="6">
        <v>2873212765</v>
      </c>
      <c r="B11" s="6">
        <f>COUNTIF('Daily Activity Cleaned'!$A$2:$B$941,'Q1-8 (By Id)'!A11)</f>
        <v>31</v>
      </c>
      <c r="C11" s="6" t="str">
        <f t="shared" si="0"/>
        <v>Active</v>
      </c>
      <c r="D11" s="8">
        <f ca="1">AVERAGEIF('Daily Activity Cleaned'!$A$2:$F$941,'Q1-8 (By Id)'!A11,'Daily Activity Cleaned'!$F$2:$F$941)</f>
        <v>5.1016128601566439</v>
      </c>
      <c r="E11" s="6" t="str">
        <f t="shared" ca="1" si="1"/>
        <v>Intermediate</v>
      </c>
      <c r="F11" s="6">
        <f ca="1">SUMIF('Daily Activity Cleaned'!$A$2:$E$941,'Q1-8 (By Id)'!A11,'Daily Activity Cleaned'!$E$2:$E$941)</f>
        <v>234229</v>
      </c>
      <c r="G11" s="8">
        <f t="shared" ca="1" si="2"/>
        <v>7555.7741935483873</v>
      </c>
      <c r="H11" s="6">
        <f ca="1">SUMIF('Daily Activity Cleaned'!$A$2:$J$941,'Q1-8 (By Id)'!A11,'Daily Activity Cleaned'!$J$2:$J$941)</f>
        <v>59426</v>
      </c>
      <c r="I11" s="8">
        <f t="shared" ca="1" si="3"/>
        <v>1916.9677419354839</v>
      </c>
      <c r="J11" s="8">
        <f ca="1">AVERAGEIF('Daily Activity Cleaned'!$A$2:$I$941,'Q1-8 (By Id)'!A11,'Daily Activity Cleaned'!$I$2:$I$941)</f>
        <v>308</v>
      </c>
      <c r="K11" s="8">
        <f ca="1">AVERAGEIF('Daily Activity Cleaned'!$A$2:$H$941,'Q1-8 (By Id)'!A11,'Daily Activity Cleaned'!$H$2:$H$941)</f>
        <v>6.129032258064516</v>
      </c>
      <c r="L11" s="2">
        <f ca="1">AVERAGEIF('Daily Activity Cleaned'!$A$2:$G$941,'Q1-8 (By Id)'!A11,'Daily Activity Cleaned'!$G$2:$G$941)</f>
        <v>14.096774193548388</v>
      </c>
      <c r="N11" s="32"/>
      <c r="O11" s="34"/>
    </row>
    <row r="12" spans="1:15" x14ac:dyDescent="0.3">
      <c r="A12" s="6">
        <v>3372868164</v>
      </c>
      <c r="B12" s="6">
        <f>COUNTIF('Daily Activity Cleaned'!$A$2:$B$941,'Q1-8 (By Id)'!A12)</f>
        <v>20</v>
      </c>
      <c r="C12" s="6" t="str">
        <f t="shared" si="0"/>
        <v>Moderate</v>
      </c>
      <c r="D12" s="8">
        <f ca="1">AVERAGEIF('Daily Activity Cleaned'!$A$2:$F$941,'Q1-8 (By Id)'!A12,'Daily Activity Cleaned'!$F$2:$F$941)</f>
        <v>4.707000041007996</v>
      </c>
      <c r="E12" s="6" t="str">
        <f t="shared" ca="1" si="1"/>
        <v>Beginner</v>
      </c>
      <c r="F12" s="6">
        <f ca="1">SUMIF('Daily Activity Cleaned'!$A$2:$E$941,'Q1-8 (By Id)'!A12,'Daily Activity Cleaned'!$E$2:$E$941)</f>
        <v>137233</v>
      </c>
      <c r="G12" s="8">
        <f t="shared" ca="1" si="2"/>
        <v>6861.65</v>
      </c>
      <c r="H12" s="6">
        <f ca="1">SUMIF('Daily Activity Cleaned'!$A$2:$J$941,'Q1-8 (By Id)'!A12,'Daily Activity Cleaned'!$J$2:$J$941)</f>
        <v>38662</v>
      </c>
      <c r="I12" s="8">
        <f t="shared" ca="1" si="3"/>
        <v>1933.1</v>
      </c>
      <c r="J12" s="8">
        <f ca="1">AVERAGEIF('Daily Activity Cleaned'!$A$2:$I$941,'Q1-8 (By Id)'!A12,'Daily Activity Cleaned'!$I$2:$I$941)</f>
        <v>327.9</v>
      </c>
      <c r="K12" s="8">
        <f ca="1">AVERAGEIF('Daily Activity Cleaned'!$A$2:$H$941,'Q1-8 (By Id)'!A12,'Daily Activity Cleaned'!$H$2:$H$941)</f>
        <v>4.0999999999999996</v>
      </c>
      <c r="L12" s="2">
        <f ca="1">AVERAGEIF('Daily Activity Cleaned'!$A$2:$G$941,'Q1-8 (By Id)'!A12,'Daily Activity Cleaned'!$G$2:$G$941)</f>
        <v>9.15</v>
      </c>
      <c r="N12" s="32"/>
      <c r="O12" s="34"/>
    </row>
    <row r="13" spans="1:15" x14ac:dyDescent="0.3">
      <c r="A13" s="6">
        <v>3977333714</v>
      </c>
      <c r="B13" s="6">
        <f>COUNTIF('Daily Activity Cleaned'!$A$2:$B$941,'Q1-8 (By Id)'!A13)</f>
        <v>30</v>
      </c>
      <c r="C13" s="6" t="str">
        <f t="shared" si="0"/>
        <v>Active</v>
      </c>
      <c r="D13" s="8">
        <f ca="1">AVERAGEIF('Daily Activity Cleaned'!$A$2:$F$941,'Q1-8 (By Id)'!A13,'Daily Activity Cleaned'!$F$2:$F$941)</f>
        <v>7.5169999440511095</v>
      </c>
      <c r="E13" s="6" t="str">
        <f t="shared" ca="1" si="1"/>
        <v>Intermediate</v>
      </c>
      <c r="F13" s="6">
        <f ca="1">SUMIF('Daily Activity Cleaned'!$A$2:$E$941,'Q1-8 (By Id)'!A13,'Daily Activity Cleaned'!$E$2:$E$941)</f>
        <v>329537</v>
      </c>
      <c r="G13" s="8">
        <f t="shared" ca="1" si="2"/>
        <v>10984.566666666668</v>
      </c>
      <c r="H13" s="6">
        <f ca="1">SUMIF('Daily Activity Cleaned'!$A$2:$J$941,'Q1-8 (By Id)'!A13,'Daily Activity Cleaned'!$J$2:$J$941)</f>
        <v>45410</v>
      </c>
      <c r="I13" s="8">
        <f t="shared" ca="1" si="3"/>
        <v>1513.6666666666667</v>
      </c>
      <c r="J13" s="8">
        <f ca="1">AVERAGEIF('Daily Activity Cleaned'!$A$2:$I$941,'Q1-8 (By Id)'!A13,'Daily Activity Cleaned'!$I$2:$I$941)</f>
        <v>174.76666666666668</v>
      </c>
      <c r="K13" s="8">
        <f ca="1">AVERAGEIF('Daily Activity Cleaned'!$A$2:$H$941,'Q1-8 (By Id)'!A13,'Daily Activity Cleaned'!$H$2:$H$941)</f>
        <v>61.266666666666666</v>
      </c>
      <c r="L13" s="2">
        <f ca="1">AVERAGEIF('Daily Activity Cleaned'!$A$2:$G$941,'Q1-8 (By Id)'!A13,'Daily Activity Cleaned'!$G$2:$G$941)</f>
        <v>18.899999999999999</v>
      </c>
      <c r="N13" s="32"/>
      <c r="O13" s="34"/>
    </row>
    <row r="14" spans="1:15" x14ac:dyDescent="0.3">
      <c r="A14" s="6">
        <v>4020332650</v>
      </c>
      <c r="B14" s="6">
        <f>COUNTIF('Daily Activity Cleaned'!$A$2:$B$941,'Q1-8 (By Id)'!A14)</f>
        <v>31</v>
      </c>
      <c r="C14" s="6" t="str">
        <f t="shared" si="0"/>
        <v>Active</v>
      </c>
      <c r="D14" s="8">
        <f ca="1">AVERAGEIF('Daily Activity Cleaned'!$A$2:$F$941,'Q1-8 (By Id)'!A14,'Daily Activity Cleaned'!$F$2:$F$941)</f>
        <v>1.6261290389323431</v>
      </c>
      <c r="E14" s="6" t="str">
        <f t="shared" ca="1" si="1"/>
        <v>Beginner</v>
      </c>
      <c r="F14" s="6">
        <f ca="1">SUMIF('Daily Activity Cleaned'!$A$2:$E$941,'Q1-8 (By Id)'!A14,'Daily Activity Cleaned'!$E$2:$E$941)</f>
        <v>70284</v>
      </c>
      <c r="G14" s="8">
        <f t="shared" ca="1" si="2"/>
        <v>2267.2258064516127</v>
      </c>
      <c r="H14" s="6">
        <f ca="1">SUMIF('Daily Activity Cleaned'!$A$2:$J$941,'Q1-8 (By Id)'!A14,'Daily Activity Cleaned'!$J$2:$J$941)</f>
        <v>73960</v>
      </c>
      <c r="I14" s="8">
        <f t="shared" ca="1" si="3"/>
        <v>2385.8064516129034</v>
      </c>
      <c r="J14" s="8">
        <f ca="1">AVERAGEIF('Daily Activity Cleaned'!$A$2:$I$941,'Q1-8 (By Id)'!A14,'Daily Activity Cleaned'!$I$2:$I$941)</f>
        <v>76.935483870967744</v>
      </c>
      <c r="K14" s="8">
        <f ca="1">AVERAGEIF('Daily Activity Cleaned'!$A$2:$H$941,'Q1-8 (By Id)'!A14,'Daily Activity Cleaned'!$H$2:$H$941)</f>
        <v>5.354838709677419</v>
      </c>
      <c r="L14" s="2">
        <f ca="1">AVERAGEIF('Daily Activity Cleaned'!$A$2:$G$941,'Q1-8 (By Id)'!A14,'Daily Activity Cleaned'!$G$2:$G$941)</f>
        <v>5.193548387096774</v>
      </c>
      <c r="N14" s="32"/>
      <c r="O14" s="34"/>
    </row>
    <row r="15" spans="1:15" x14ac:dyDescent="0.3">
      <c r="A15" s="6">
        <v>4057192912</v>
      </c>
      <c r="B15" s="6">
        <f>COUNTIF('Daily Activity Cleaned'!$A$2:$B$941,'Q1-8 (By Id)'!A15)</f>
        <v>4</v>
      </c>
      <c r="C15" s="6" t="str">
        <f t="shared" si="0"/>
        <v>Light</v>
      </c>
      <c r="D15" s="8">
        <f ca="1">AVERAGEIF('Daily Activity Cleaned'!$A$2:$F$941,'Q1-8 (By Id)'!A15,'Daily Activity Cleaned'!$F$2:$F$941)</f>
        <v>2.8625000119209298</v>
      </c>
      <c r="E15" s="6" t="str">
        <f t="shared" ca="1" si="1"/>
        <v>Beginner</v>
      </c>
      <c r="F15" s="6">
        <f ca="1">SUMIF('Daily Activity Cleaned'!$A$2:$E$941,'Q1-8 (By Id)'!A15,'Daily Activity Cleaned'!$E$2:$E$941)</f>
        <v>15352</v>
      </c>
      <c r="G15" s="8">
        <f t="shared" ca="1" si="2"/>
        <v>3838</v>
      </c>
      <c r="H15" s="6">
        <f ca="1">SUMIF('Daily Activity Cleaned'!$A$2:$J$941,'Q1-8 (By Id)'!A15,'Daily Activity Cleaned'!$J$2:$J$941)</f>
        <v>7895</v>
      </c>
      <c r="I15" s="8">
        <f t="shared" ca="1" si="3"/>
        <v>1973.75</v>
      </c>
      <c r="J15" s="8">
        <f ca="1">AVERAGEIF('Daily Activity Cleaned'!$A$2:$I$941,'Q1-8 (By Id)'!A15,'Daily Activity Cleaned'!$I$2:$I$941)</f>
        <v>103</v>
      </c>
      <c r="K15" s="8">
        <f ca="1">AVERAGEIF('Daily Activity Cleaned'!$A$2:$H$941,'Q1-8 (By Id)'!A15,'Daily Activity Cleaned'!$H$2:$H$941)</f>
        <v>1.5</v>
      </c>
      <c r="L15" s="2">
        <f ca="1">AVERAGEIF('Daily Activity Cleaned'!$A$2:$G$941,'Q1-8 (By Id)'!A15,'Daily Activity Cleaned'!$G$2:$G$941)</f>
        <v>0.75</v>
      </c>
      <c r="N15" s="32"/>
      <c r="O15" s="34"/>
    </row>
    <row r="16" spans="1:15" x14ac:dyDescent="0.3">
      <c r="A16" s="6">
        <v>4319703577</v>
      </c>
      <c r="B16" s="6">
        <f>COUNTIF('Daily Activity Cleaned'!$A$2:$B$941,'Q1-8 (By Id)'!A16)</f>
        <v>31</v>
      </c>
      <c r="C16" s="6" t="str">
        <f t="shared" si="0"/>
        <v>Active</v>
      </c>
      <c r="D16" s="8">
        <f ca="1">AVERAGEIF('Daily Activity Cleaned'!$A$2:$F$941,'Q1-8 (By Id)'!A16,'Daily Activity Cleaned'!$F$2:$F$941)</f>
        <v>4.8922580470361057</v>
      </c>
      <c r="E16" s="6" t="str">
        <f t="shared" ca="1" si="1"/>
        <v>Beginner</v>
      </c>
      <c r="F16" s="6">
        <f ca="1">SUMIF('Daily Activity Cleaned'!$A$2:$E$941,'Q1-8 (By Id)'!A16,'Daily Activity Cleaned'!$E$2:$E$941)</f>
        <v>225334</v>
      </c>
      <c r="G16" s="8">
        <f t="shared" ca="1" si="2"/>
        <v>7268.8387096774195</v>
      </c>
      <c r="H16" s="6">
        <f ca="1">SUMIF('Daily Activity Cleaned'!$A$2:$J$941,'Q1-8 (By Id)'!A16,'Daily Activity Cleaned'!$J$2:$J$941)</f>
        <v>63168</v>
      </c>
      <c r="I16" s="8">
        <f t="shared" ca="1" si="3"/>
        <v>2037.6774193548388</v>
      </c>
      <c r="J16" s="8">
        <f ca="1">AVERAGEIF('Daily Activity Cleaned'!$A$2:$I$941,'Q1-8 (By Id)'!A16,'Daily Activity Cleaned'!$I$2:$I$941)</f>
        <v>228.7741935483871</v>
      </c>
      <c r="K16" s="8">
        <f ca="1">AVERAGEIF('Daily Activity Cleaned'!$A$2:$H$941,'Q1-8 (By Id)'!A16,'Daily Activity Cleaned'!$H$2:$H$941)</f>
        <v>12.32258064516129</v>
      </c>
      <c r="L16" s="2">
        <f ca="1">AVERAGEIF('Daily Activity Cleaned'!$A$2:$G$941,'Q1-8 (By Id)'!A16,'Daily Activity Cleaned'!$G$2:$G$941)</f>
        <v>3.5806451612903225</v>
      </c>
      <c r="N16" s="32"/>
      <c r="O16" s="34"/>
    </row>
    <row r="17" spans="1:15" x14ac:dyDescent="0.3">
      <c r="A17" s="6">
        <v>4388161847</v>
      </c>
      <c r="B17" s="6">
        <f>COUNTIF('Daily Activity Cleaned'!$A$2:$B$941,'Q1-8 (By Id)'!A17)</f>
        <v>31</v>
      </c>
      <c r="C17" s="6" t="str">
        <f t="shared" si="0"/>
        <v>Active</v>
      </c>
      <c r="D17" s="8">
        <f ca="1">AVERAGEIF('Daily Activity Cleaned'!$A$2:$F$941,'Q1-8 (By Id)'!A17,'Daily Activity Cleaned'!$F$2:$F$941)</f>
        <v>8.393225892897572</v>
      </c>
      <c r="E17" s="6" t="str">
        <f t="shared" ca="1" si="1"/>
        <v>Intermediate</v>
      </c>
      <c r="F17" s="6">
        <f ca="1">SUMIF('Daily Activity Cleaned'!$A$2:$E$941,'Q1-8 (By Id)'!A17,'Daily Activity Cleaned'!$E$2:$E$941)</f>
        <v>335232</v>
      </c>
      <c r="G17" s="8">
        <f t="shared" ca="1" si="2"/>
        <v>10813.935483870968</v>
      </c>
      <c r="H17" s="6">
        <f ca="1">SUMIF('Daily Activity Cleaned'!$A$2:$J$941,'Q1-8 (By Id)'!A17,'Daily Activity Cleaned'!$J$2:$J$941)</f>
        <v>95910</v>
      </c>
      <c r="I17" s="8">
        <f t="shared" ca="1" si="3"/>
        <v>3093.8709677419356</v>
      </c>
      <c r="J17" s="8">
        <f ca="1">AVERAGEIF('Daily Activity Cleaned'!$A$2:$I$941,'Q1-8 (By Id)'!A17,'Daily Activity Cleaned'!$I$2:$I$941)</f>
        <v>229.35483870967741</v>
      </c>
      <c r="K17" s="8">
        <f ca="1">AVERAGEIF('Daily Activity Cleaned'!$A$2:$H$941,'Q1-8 (By Id)'!A17,'Daily Activity Cleaned'!$H$2:$H$941)</f>
        <v>20.35483870967742</v>
      </c>
      <c r="L17" s="2">
        <f ca="1">AVERAGEIF('Daily Activity Cleaned'!$A$2:$G$941,'Q1-8 (By Id)'!A17,'Daily Activity Cleaned'!$G$2:$G$941)</f>
        <v>23.161290322580644</v>
      </c>
      <c r="N17" s="35"/>
      <c r="O17" s="37"/>
    </row>
    <row r="18" spans="1:15" x14ac:dyDescent="0.3">
      <c r="A18" s="6">
        <v>4445114986</v>
      </c>
      <c r="B18" s="6">
        <f>COUNTIF('Daily Activity Cleaned'!$A$2:$B$941,'Q1-8 (By Id)'!A18)</f>
        <v>31</v>
      </c>
      <c r="C18" s="6" t="str">
        <f t="shared" si="0"/>
        <v>Active</v>
      </c>
      <c r="D18" s="8">
        <f ca="1">AVERAGEIF('Daily Activity Cleaned'!$A$2:$F$941,'Q1-8 (By Id)'!A18,'Daily Activity Cleaned'!$F$2:$F$941)</f>
        <v>3.2458064402303388</v>
      </c>
      <c r="E18" s="6" t="str">
        <f t="shared" ca="1" si="1"/>
        <v>Beginner</v>
      </c>
      <c r="F18" s="6">
        <f ca="1">SUMIF('Daily Activity Cleaned'!$A$2:$E$941,'Q1-8 (By Id)'!A18,'Daily Activity Cleaned'!$E$2:$E$941)</f>
        <v>148693</v>
      </c>
      <c r="G18" s="8">
        <f t="shared" ca="1" si="2"/>
        <v>4796.5483870967746</v>
      </c>
      <c r="H18" s="6">
        <f ca="1">SUMIF('Daily Activity Cleaned'!$A$2:$J$941,'Q1-8 (By Id)'!A18,'Daily Activity Cleaned'!$J$2:$J$941)</f>
        <v>67772</v>
      </c>
      <c r="I18" s="8">
        <f t="shared" ca="1" si="3"/>
        <v>2186.1935483870966</v>
      </c>
      <c r="J18" s="8">
        <f ca="1">AVERAGEIF('Daily Activity Cleaned'!$A$2:$I$941,'Q1-8 (By Id)'!A18,'Daily Activity Cleaned'!$I$2:$I$941)</f>
        <v>209.09677419354838</v>
      </c>
      <c r="K18" s="8">
        <f ca="1">AVERAGEIF('Daily Activity Cleaned'!$A$2:$H$941,'Q1-8 (By Id)'!A18,'Daily Activity Cleaned'!$H$2:$H$941)</f>
        <v>1.7419354838709677</v>
      </c>
      <c r="L18" s="2">
        <f ca="1">AVERAGEIF('Daily Activity Cleaned'!$A$2:$G$941,'Q1-8 (By Id)'!A18,'Daily Activity Cleaned'!$G$2:$G$941)</f>
        <v>6.612903225806452</v>
      </c>
      <c r="N18" s="1"/>
      <c r="O18" s="1"/>
    </row>
    <row r="19" spans="1:15" x14ac:dyDescent="0.3">
      <c r="A19" s="6">
        <v>4558609924</v>
      </c>
      <c r="B19" s="6">
        <f>COUNTIF('Daily Activity Cleaned'!$A$2:$B$941,'Q1-8 (By Id)'!A19)</f>
        <v>31</v>
      </c>
      <c r="C19" s="6" t="str">
        <f t="shared" si="0"/>
        <v>Active</v>
      </c>
      <c r="D19" s="8">
        <f ca="1">AVERAGEIF('Daily Activity Cleaned'!$A$2:$F$941,'Q1-8 (By Id)'!A19,'Daily Activity Cleaned'!$F$2:$F$941)</f>
        <v>5.0806451766721663</v>
      </c>
      <c r="E19" s="6" t="str">
        <f t="shared" ca="1" si="1"/>
        <v>Intermediate</v>
      </c>
      <c r="F19" s="6">
        <f ca="1">SUMIF('Daily Activity Cleaned'!$A$2:$E$941,'Q1-8 (By Id)'!A19,'Daily Activity Cleaned'!$E$2:$E$941)</f>
        <v>238239</v>
      </c>
      <c r="G19" s="8">
        <f t="shared" ca="1" si="2"/>
        <v>7685.1290322580644</v>
      </c>
      <c r="H19" s="6">
        <f ca="1">SUMIF('Daily Activity Cleaned'!$A$2:$J$941,'Q1-8 (By Id)'!A19,'Daily Activity Cleaned'!$J$2:$J$941)</f>
        <v>63031</v>
      </c>
      <c r="I19" s="8">
        <f t="shared" ca="1" si="3"/>
        <v>2033.258064516129</v>
      </c>
      <c r="J19" s="8">
        <f ca="1">AVERAGEIF('Daily Activity Cleaned'!$A$2:$I$941,'Q1-8 (By Id)'!A19,'Daily Activity Cleaned'!$I$2:$I$941)</f>
        <v>284.96774193548384</v>
      </c>
      <c r="K19" s="8">
        <f ca="1">AVERAGEIF('Daily Activity Cleaned'!$A$2:$H$941,'Q1-8 (By Id)'!A19,'Daily Activity Cleaned'!$H$2:$H$941)</f>
        <v>13.709677419354838</v>
      </c>
      <c r="L19" s="2">
        <f ca="1">AVERAGEIF('Daily Activity Cleaned'!$A$2:$G$941,'Q1-8 (By Id)'!A19,'Daily Activity Cleaned'!$G$2:$G$941)</f>
        <v>10.387096774193548</v>
      </c>
      <c r="N19" s="1"/>
      <c r="O19" s="1"/>
    </row>
    <row r="20" spans="1:15" x14ac:dyDescent="0.3">
      <c r="A20" s="6">
        <v>4702921684</v>
      </c>
      <c r="B20" s="6">
        <f>COUNTIF('Daily Activity Cleaned'!$A$2:$B$941,'Q1-8 (By Id)'!A20)</f>
        <v>31</v>
      </c>
      <c r="C20" s="6" t="str">
        <f t="shared" si="0"/>
        <v>Active</v>
      </c>
      <c r="D20" s="8">
        <f ca="1">AVERAGEIF('Daily Activity Cleaned'!$A$2:$F$941,'Q1-8 (By Id)'!A20,'Daily Activity Cleaned'!$F$2:$F$941)</f>
        <v>6.9551612830931147</v>
      </c>
      <c r="E20" s="6" t="str">
        <f t="shared" ca="1" si="1"/>
        <v>Intermediate</v>
      </c>
      <c r="F20" s="6">
        <f ca="1">SUMIF('Daily Activity Cleaned'!$A$2:$E$941,'Q1-8 (By Id)'!A20,'Daily Activity Cleaned'!$E$2:$E$941)</f>
        <v>265734</v>
      </c>
      <c r="G20" s="8">
        <f t="shared" ca="1" si="2"/>
        <v>8572.0645161290322</v>
      </c>
      <c r="H20" s="6">
        <f ca="1">SUMIF('Daily Activity Cleaned'!$A$2:$J$941,'Q1-8 (By Id)'!A20,'Daily Activity Cleaned'!$J$2:$J$941)</f>
        <v>91932</v>
      </c>
      <c r="I20" s="8">
        <f t="shared" ca="1" si="3"/>
        <v>2965.5483870967741</v>
      </c>
      <c r="J20" s="8">
        <f ca="1">AVERAGEIF('Daily Activity Cleaned'!$A$2:$I$941,'Q1-8 (By Id)'!A20,'Daily Activity Cleaned'!$I$2:$I$941)</f>
        <v>237.48387096774192</v>
      </c>
      <c r="K20" s="8">
        <f ca="1">AVERAGEIF('Daily Activity Cleaned'!$A$2:$H$941,'Q1-8 (By Id)'!A20,'Daily Activity Cleaned'!$H$2:$H$941)</f>
        <v>26.032258064516128</v>
      </c>
      <c r="L20" s="2">
        <f ca="1">AVERAGEIF('Daily Activity Cleaned'!$A$2:$G$941,'Q1-8 (By Id)'!A20,'Daily Activity Cleaned'!$G$2:$G$941)</f>
        <v>5.129032258064516</v>
      </c>
      <c r="N20" s="1"/>
      <c r="O20" s="1"/>
    </row>
    <row r="21" spans="1:15" x14ac:dyDescent="0.3">
      <c r="A21" s="6">
        <v>5553957443</v>
      </c>
      <c r="B21" s="6">
        <f>COUNTIF('Daily Activity Cleaned'!$A$2:$B$941,'Q1-8 (By Id)'!A21)</f>
        <v>31</v>
      </c>
      <c r="C21" s="6" t="str">
        <f t="shared" si="0"/>
        <v>Active</v>
      </c>
      <c r="D21" s="8">
        <f ca="1">AVERAGEIF('Daily Activity Cleaned'!$A$2:$F$941,'Q1-8 (By Id)'!A21,'Daily Activity Cleaned'!$F$2:$F$941)</f>
        <v>5.6396774495801596</v>
      </c>
      <c r="E21" s="6" t="str">
        <f t="shared" ca="1" si="1"/>
        <v>Intermediate</v>
      </c>
      <c r="F21" s="6">
        <f ca="1">SUMIF('Daily Activity Cleaned'!$A$2:$E$941,'Q1-8 (By Id)'!A21,'Daily Activity Cleaned'!$E$2:$E$941)</f>
        <v>266990</v>
      </c>
      <c r="G21" s="8">
        <f t="shared" ca="1" si="2"/>
        <v>8612.5806451612898</v>
      </c>
      <c r="H21" s="6">
        <f ca="1">SUMIF('Daily Activity Cleaned'!$A$2:$J$941,'Q1-8 (By Id)'!A21,'Daily Activity Cleaned'!$J$2:$J$941)</f>
        <v>58146</v>
      </c>
      <c r="I21" s="8">
        <f t="shared" ca="1" si="3"/>
        <v>1875.6774193548388</v>
      </c>
      <c r="J21" s="8">
        <f ca="1">AVERAGEIF('Daily Activity Cleaned'!$A$2:$I$941,'Q1-8 (By Id)'!A21,'Daily Activity Cleaned'!$I$2:$I$941)</f>
        <v>206.19354838709677</v>
      </c>
      <c r="K21" s="8">
        <f ca="1">AVERAGEIF('Daily Activity Cleaned'!$A$2:$H$941,'Q1-8 (By Id)'!A21,'Daily Activity Cleaned'!$H$2:$H$941)</f>
        <v>13</v>
      </c>
      <c r="L21" s="2">
        <f ca="1">AVERAGEIF('Daily Activity Cleaned'!$A$2:$G$941,'Q1-8 (By Id)'!A21,'Daily Activity Cleaned'!$G$2:$G$941)</f>
        <v>23.419354838709676</v>
      </c>
    </row>
    <row r="22" spans="1:15" x14ac:dyDescent="0.3">
      <c r="A22" s="6">
        <v>5577150313</v>
      </c>
      <c r="B22" s="6">
        <f>COUNTIF('Daily Activity Cleaned'!$A$2:$B$941,'Q1-8 (By Id)'!A22)</f>
        <v>30</v>
      </c>
      <c r="C22" s="6" t="str">
        <f t="shared" si="0"/>
        <v>Active</v>
      </c>
      <c r="D22" s="8">
        <f ca="1">AVERAGEIF('Daily Activity Cleaned'!$A$2:$F$941,'Q1-8 (By Id)'!A22,'Daily Activity Cleaned'!$F$2:$F$941)</f>
        <v>6.2133333047231041</v>
      </c>
      <c r="E22" s="6" t="str">
        <f t="shared" ca="1" si="1"/>
        <v>Intermediate</v>
      </c>
      <c r="F22" s="6">
        <f ca="1">SUMIF('Daily Activity Cleaned'!$A$2:$E$941,'Q1-8 (By Id)'!A22,'Daily Activity Cleaned'!$E$2:$E$941)</f>
        <v>249133</v>
      </c>
      <c r="G22" s="8">
        <f t="shared" ca="1" si="2"/>
        <v>8304.4333333333325</v>
      </c>
      <c r="H22" s="6">
        <f ca="1">SUMIF('Daily Activity Cleaned'!$A$2:$J$941,'Q1-8 (By Id)'!A22,'Daily Activity Cleaned'!$J$2:$J$941)</f>
        <v>100789</v>
      </c>
      <c r="I22" s="8">
        <f t="shared" ca="1" si="3"/>
        <v>3359.6333333333332</v>
      </c>
      <c r="J22" s="8">
        <f ca="1">AVERAGEIF('Daily Activity Cleaned'!$A$2:$I$941,'Q1-8 (By Id)'!A22,'Daily Activity Cleaned'!$I$2:$I$941)</f>
        <v>147.93333333333334</v>
      </c>
      <c r="K22" s="8">
        <f ca="1">AVERAGEIF('Daily Activity Cleaned'!$A$2:$H$941,'Q1-8 (By Id)'!A22,'Daily Activity Cleaned'!$H$2:$H$941)</f>
        <v>29.833333333333332</v>
      </c>
      <c r="L22" s="2">
        <f ca="1">AVERAGEIF('Daily Activity Cleaned'!$A$2:$G$941,'Q1-8 (By Id)'!A22,'Daily Activity Cleaned'!$G$2:$G$941)</f>
        <v>87.333333333333329</v>
      </c>
    </row>
    <row r="23" spans="1:15" x14ac:dyDescent="0.3">
      <c r="A23" s="6">
        <v>6117666160</v>
      </c>
      <c r="B23" s="6">
        <f>COUNTIF('Daily Activity Cleaned'!$A$2:$B$941,'Q1-8 (By Id)'!A23)</f>
        <v>28</v>
      </c>
      <c r="C23" s="6" t="str">
        <f t="shared" si="0"/>
        <v>Active</v>
      </c>
      <c r="D23" s="8">
        <f ca="1">AVERAGEIF('Daily Activity Cleaned'!$A$2:$F$941,'Q1-8 (By Id)'!A23,'Daily Activity Cleaned'!$F$2:$F$941)</f>
        <v>5.342142914022717</v>
      </c>
      <c r="E23" s="6" t="str">
        <f t="shared" ca="1" si="1"/>
        <v>Intermediate</v>
      </c>
      <c r="F23" s="6">
        <f ca="1">SUMIF('Daily Activity Cleaned'!$A$2:$E$941,'Q1-8 (By Id)'!A23,'Daily Activity Cleaned'!$E$2:$E$941)</f>
        <v>197308</v>
      </c>
      <c r="G23" s="8">
        <f t="shared" ca="1" si="2"/>
        <v>7046.7142857142853</v>
      </c>
      <c r="H23" s="6">
        <f ca="1">SUMIF('Daily Activity Cleaned'!$A$2:$J$941,'Q1-8 (By Id)'!A23,'Daily Activity Cleaned'!$J$2:$J$941)</f>
        <v>63312</v>
      </c>
      <c r="I23" s="8">
        <f t="shared" ca="1" si="3"/>
        <v>2261.1428571428573</v>
      </c>
      <c r="J23" s="8">
        <f ca="1">AVERAGEIF('Daily Activity Cleaned'!$A$2:$I$941,'Q1-8 (By Id)'!A23,'Daily Activity Cleaned'!$I$2:$I$941)</f>
        <v>288.35714285714283</v>
      </c>
      <c r="K23" s="8">
        <f ca="1">AVERAGEIF('Daily Activity Cleaned'!$A$2:$H$941,'Q1-8 (By Id)'!A23,'Daily Activity Cleaned'!$H$2:$H$941)</f>
        <v>2.0357142857142856</v>
      </c>
      <c r="L23" s="2">
        <f ca="1">AVERAGEIF('Daily Activity Cleaned'!$A$2:$G$941,'Q1-8 (By Id)'!A23,'Daily Activity Cleaned'!$G$2:$G$941)</f>
        <v>1.5714285714285714</v>
      </c>
    </row>
    <row r="24" spans="1:15" x14ac:dyDescent="0.3">
      <c r="A24" s="6">
        <v>6290855005</v>
      </c>
      <c r="B24" s="6">
        <f>COUNTIF('Daily Activity Cleaned'!$A$2:$B$941,'Q1-8 (By Id)'!A24)</f>
        <v>29</v>
      </c>
      <c r="C24" s="6" t="str">
        <f t="shared" si="0"/>
        <v>Active</v>
      </c>
      <c r="D24" s="8">
        <f ca="1">AVERAGEIF('Daily Activity Cleaned'!$A$2:$F$941,'Q1-8 (By Id)'!A24,'Daily Activity Cleaned'!$F$2:$F$941)</f>
        <v>4.2724138046133104</v>
      </c>
      <c r="E24" s="6" t="str">
        <f t="shared" ca="1" si="1"/>
        <v>Beginner</v>
      </c>
      <c r="F24" s="6">
        <f ca="1">SUMIF('Daily Activity Cleaned'!$A$2:$E$941,'Q1-8 (By Id)'!A24,'Daily Activity Cleaned'!$E$2:$E$941)</f>
        <v>163837</v>
      </c>
      <c r="G24" s="8">
        <f t="shared" ca="1" si="2"/>
        <v>5649.5517241379312</v>
      </c>
      <c r="H24" s="6">
        <f ca="1">SUMIF('Daily Activity Cleaned'!$A$2:$J$941,'Q1-8 (By Id)'!A24,'Daily Activity Cleaned'!$J$2:$J$941)</f>
        <v>75389</v>
      </c>
      <c r="I24" s="8">
        <f t="shared" ca="1" si="3"/>
        <v>2599.6206896551726</v>
      </c>
      <c r="J24" s="8">
        <f ca="1">AVERAGEIF('Daily Activity Cleaned'!$A$2:$I$941,'Q1-8 (By Id)'!A24,'Daily Activity Cleaned'!$I$2:$I$941)</f>
        <v>227.44827586206895</v>
      </c>
      <c r="K24" s="8">
        <f ca="1">AVERAGEIF('Daily Activity Cleaned'!$A$2:$H$941,'Q1-8 (By Id)'!A24,'Daily Activity Cleaned'!$H$2:$H$941)</f>
        <v>3.7931034482758621</v>
      </c>
      <c r="L24" s="2">
        <f ca="1">AVERAGEIF('Daily Activity Cleaned'!$A$2:$G$941,'Q1-8 (By Id)'!A24,'Daily Activity Cleaned'!$G$2:$G$941)</f>
        <v>2.7586206896551726</v>
      </c>
    </row>
    <row r="25" spans="1:15" x14ac:dyDescent="0.3">
      <c r="A25" s="6">
        <v>6775888955</v>
      </c>
      <c r="B25" s="6">
        <f>COUNTIF('Daily Activity Cleaned'!$A$2:$B$941,'Q1-8 (By Id)'!A25)</f>
        <v>26</v>
      </c>
      <c r="C25" s="6" t="str">
        <f t="shared" si="0"/>
        <v>Active</v>
      </c>
      <c r="D25" s="8">
        <f ca="1">AVERAGEIF('Daily Activity Cleaned'!$A$2:$F$941,'Q1-8 (By Id)'!A25,'Daily Activity Cleaned'!$F$2:$F$941)</f>
        <v>1.8134615161241252</v>
      </c>
      <c r="E25" s="6" t="str">
        <f t="shared" ca="1" si="1"/>
        <v>Beginner</v>
      </c>
      <c r="F25" s="6">
        <f ca="1">SUMIF('Daily Activity Cleaned'!$A$2:$E$941,'Q1-8 (By Id)'!A25,'Daily Activity Cleaned'!$E$2:$E$941)</f>
        <v>65512</v>
      </c>
      <c r="G25" s="8">
        <f t="shared" ca="1" si="2"/>
        <v>2519.6923076923076</v>
      </c>
      <c r="H25" s="6">
        <f ca="1">SUMIF('Daily Activity Cleaned'!$A$2:$J$941,'Q1-8 (By Id)'!A25,'Daily Activity Cleaned'!$J$2:$J$941)</f>
        <v>55426</v>
      </c>
      <c r="I25" s="8">
        <f t="shared" ca="1" si="3"/>
        <v>2131.7692307692309</v>
      </c>
      <c r="J25" s="8">
        <f ca="1">AVERAGEIF('Daily Activity Cleaned'!$A$2:$I$941,'Q1-8 (By Id)'!A25,'Daily Activity Cleaned'!$I$2:$I$941)</f>
        <v>40.153846153846153</v>
      </c>
      <c r="K25" s="8">
        <f ca="1">AVERAGEIF('Daily Activity Cleaned'!$A$2:$H$941,'Q1-8 (By Id)'!A25,'Daily Activity Cleaned'!$H$2:$H$941)</f>
        <v>14.807692307692308</v>
      </c>
      <c r="L25" s="2">
        <f ca="1">AVERAGEIF('Daily Activity Cleaned'!$A$2:$G$941,'Q1-8 (By Id)'!A25,'Daily Activity Cleaned'!$G$2:$G$941)</f>
        <v>11</v>
      </c>
    </row>
    <row r="26" spans="1:15" x14ac:dyDescent="0.3">
      <c r="A26" s="6">
        <v>6962181067</v>
      </c>
      <c r="B26" s="6">
        <f>COUNTIF('Daily Activity Cleaned'!$A$2:$B$941,'Q1-8 (By Id)'!A26)</f>
        <v>31</v>
      </c>
      <c r="C26" s="6" t="str">
        <f t="shared" si="0"/>
        <v>Active</v>
      </c>
      <c r="D26" s="8">
        <f ca="1">AVERAGEIF('Daily Activity Cleaned'!$A$2:$F$941,'Q1-8 (By Id)'!A26,'Daily Activity Cleaned'!$F$2:$F$941)</f>
        <v>6.585806477454403</v>
      </c>
      <c r="E26" s="6" t="str">
        <f t="shared" ca="1" si="1"/>
        <v>Intermediate</v>
      </c>
      <c r="F26" s="6">
        <f ca="1">SUMIF('Daily Activity Cleaned'!$A$2:$E$941,'Q1-8 (By Id)'!A26,'Daily Activity Cleaned'!$E$2:$E$941)</f>
        <v>303639</v>
      </c>
      <c r="G26" s="8">
        <f t="shared" ca="1" si="2"/>
        <v>9794.8064516129034</v>
      </c>
      <c r="H26" s="6">
        <f ca="1">SUMIF('Daily Activity Cleaned'!$A$2:$J$941,'Q1-8 (By Id)'!A26,'Daily Activity Cleaned'!$J$2:$J$941)</f>
        <v>61443</v>
      </c>
      <c r="I26" s="8">
        <f t="shared" ca="1" si="3"/>
        <v>1982.0322580645161</v>
      </c>
      <c r="J26" s="8">
        <f ca="1">AVERAGEIF('Daily Activity Cleaned'!$A$2:$I$941,'Q1-8 (By Id)'!A26,'Daily Activity Cleaned'!$I$2:$I$941)</f>
        <v>245.80645161290323</v>
      </c>
      <c r="K26" s="8">
        <f ca="1">AVERAGEIF('Daily Activity Cleaned'!$A$2:$H$941,'Q1-8 (By Id)'!A26,'Daily Activity Cleaned'!$H$2:$H$941)</f>
        <v>18.516129032258064</v>
      </c>
      <c r="L26" s="2">
        <f ca="1">AVERAGEIF('Daily Activity Cleaned'!$A$2:$G$941,'Q1-8 (By Id)'!A26,'Daily Activity Cleaned'!$G$2:$G$941)</f>
        <v>22.806451612903224</v>
      </c>
    </row>
    <row r="27" spans="1:15" x14ac:dyDescent="0.3">
      <c r="A27" s="6">
        <v>7007744171</v>
      </c>
      <c r="B27" s="6">
        <f>COUNTIF('Daily Activity Cleaned'!$A$2:$B$941,'Q1-8 (By Id)'!A27)</f>
        <v>26</v>
      </c>
      <c r="C27" s="6" t="str">
        <f t="shared" si="0"/>
        <v>Active</v>
      </c>
      <c r="D27" s="8">
        <f ca="1">AVERAGEIF('Daily Activity Cleaned'!$A$2:$F$941,'Q1-8 (By Id)'!A27,'Daily Activity Cleaned'!$F$2:$F$941)</f>
        <v>8.0153845915427571</v>
      </c>
      <c r="E27" s="6" t="str">
        <f t="shared" ca="1" si="1"/>
        <v>Intermediate</v>
      </c>
      <c r="F27" s="6">
        <f ca="1">SUMIF('Daily Activity Cleaned'!$A$2:$E$941,'Q1-8 (By Id)'!A27,'Daily Activity Cleaned'!$E$2:$E$941)</f>
        <v>294409</v>
      </c>
      <c r="G27" s="8">
        <f t="shared" ca="1" si="2"/>
        <v>11323.423076923076</v>
      </c>
      <c r="H27" s="6">
        <f ca="1">SUMIF('Daily Activity Cleaned'!$A$2:$J$941,'Q1-8 (By Id)'!A27,'Daily Activity Cleaned'!$J$2:$J$941)</f>
        <v>66144</v>
      </c>
      <c r="I27" s="8">
        <f t="shared" ca="1" si="3"/>
        <v>2544</v>
      </c>
      <c r="J27" s="8">
        <f ca="1">AVERAGEIF('Daily Activity Cleaned'!$A$2:$I$941,'Q1-8 (By Id)'!A27,'Daily Activity Cleaned'!$I$2:$I$941)</f>
        <v>280.73076923076923</v>
      </c>
      <c r="K27" s="8">
        <f ca="1">AVERAGEIF('Daily Activity Cleaned'!$A$2:$H$941,'Q1-8 (By Id)'!A27,'Daily Activity Cleaned'!$H$2:$H$941)</f>
        <v>16.26923076923077</v>
      </c>
      <c r="L27" s="2">
        <f ca="1">AVERAGEIF('Daily Activity Cleaned'!$A$2:$G$941,'Q1-8 (By Id)'!A27,'Daily Activity Cleaned'!$G$2:$G$941)</f>
        <v>31.03846153846154</v>
      </c>
    </row>
    <row r="28" spans="1:15" x14ac:dyDescent="0.3">
      <c r="A28" s="6">
        <v>7086361926</v>
      </c>
      <c r="B28" s="6">
        <f>COUNTIF('Daily Activity Cleaned'!$A$2:$B$941,'Q1-8 (By Id)'!A28)</f>
        <v>31</v>
      </c>
      <c r="C28" s="6" t="str">
        <f t="shared" si="0"/>
        <v>Active</v>
      </c>
      <c r="D28" s="8">
        <f ca="1">AVERAGEIF('Daily Activity Cleaned'!$A$2:$F$941,'Q1-8 (By Id)'!A28,'Daily Activity Cleaned'!$F$2:$F$941)</f>
        <v>6.3880645078156268</v>
      </c>
      <c r="E28" s="6" t="str">
        <f t="shared" ca="1" si="1"/>
        <v>Intermediate</v>
      </c>
      <c r="F28" s="6">
        <f ca="1">SUMIF('Daily Activity Cleaned'!$A$2:$E$941,'Q1-8 (By Id)'!A28,'Daily Activity Cleaned'!$E$2:$E$941)</f>
        <v>290525</v>
      </c>
      <c r="G28" s="8">
        <f t="shared" ca="1" si="2"/>
        <v>9371.7741935483864</v>
      </c>
      <c r="H28" s="6">
        <f ca="1">SUMIF('Daily Activity Cleaned'!$A$2:$J$941,'Q1-8 (By Id)'!A28,'Daily Activity Cleaned'!$J$2:$J$941)</f>
        <v>79557</v>
      </c>
      <c r="I28" s="8">
        <f t="shared" ca="1" si="3"/>
        <v>2566.3548387096776</v>
      </c>
      <c r="J28" s="8">
        <f ca="1">AVERAGEIF('Daily Activity Cleaned'!$A$2:$I$941,'Q1-8 (By Id)'!A28,'Daily Activity Cleaned'!$I$2:$I$941)</f>
        <v>143.83870967741936</v>
      </c>
      <c r="K28" s="8">
        <f ca="1">AVERAGEIF('Daily Activity Cleaned'!$A$2:$H$941,'Q1-8 (By Id)'!A28,'Daily Activity Cleaned'!$H$2:$H$941)</f>
        <v>25.35483870967742</v>
      </c>
      <c r="L28" s="2">
        <f ca="1">AVERAGEIF('Daily Activity Cleaned'!$A$2:$G$941,'Q1-8 (By Id)'!A28,'Daily Activity Cleaned'!$G$2:$G$941)</f>
        <v>42.58064516129032</v>
      </c>
    </row>
    <row r="29" spans="1:15" x14ac:dyDescent="0.3">
      <c r="A29" s="6">
        <v>8053475328</v>
      </c>
      <c r="B29" s="6">
        <f>COUNTIF('Daily Activity Cleaned'!$A$2:$B$941,'Q1-8 (By Id)'!A29)</f>
        <v>31</v>
      </c>
      <c r="C29" s="6" t="str">
        <f t="shared" si="0"/>
        <v>Active</v>
      </c>
      <c r="D29" s="8">
        <f ca="1">AVERAGEIF('Daily Activity Cleaned'!$A$2:$F$941,'Q1-8 (By Id)'!A29,'Daily Activity Cleaned'!$F$2:$F$941)</f>
        <v>11.475161198646786</v>
      </c>
      <c r="E29" s="6" t="str">
        <f t="shared" ca="1" si="1"/>
        <v>Pro</v>
      </c>
      <c r="F29" s="6">
        <f ca="1">SUMIF('Daily Activity Cleaned'!$A$2:$E$941,'Q1-8 (By Id)'!A29,'Daily Activity Cleaned'!$E$2:$E$941)</f>
        <v>457662</v>
      </c>
      <c r="G29" s="8">
        <f t="shared" ca="1" si="2"/>
        <v>14763.290322580646</v>
      </c>
      <c r="H29" s="6">
        <f ca="1">SUMIF('Daily Activity Cleaned'!$A$2:$J$941,'Q1-8 (By Id)'!A29,'Daily Activity Cleaned'!$J$2:$J$941)</f>
        <v>91320</v>
      </c>
      <c r="I29" s="8">
        <f t="shared" ca="1" si="3"/>
        <v>2945.8064516129034</v>
      </c>
      <c r="J29" s="8">
        <f ca="1">AVERAGEIF('Daily Activity Cleaned'!$A$2:$I$941,'Q1-8 (By Id)'!A29,'Daily Activity Cleaned'!$I$2:$I$941)</f>
        <v>150.96774193548387</v>
      </c>
      <c r="K29" s="8">
        <f ca="1">AVERAGEIF('Daily Activity Cleaned'!$A$2:$H$941,'Q1-8 (By Id)'!A29,'Daily Activity Cleaned'!$H$2:$H$941)</f>
        <v>9.5806451612903221</v>
      </c>
      <c r="L29" s="2">
        <f ca="1">AVERAGEIF('Daily Activity Cleaned'!$A$2:$G$941,'Q1-8 (By Id)'!A29,'Daily Activity Cleaned'!$G$2:$G$941)</f>
        <v>85.161290322580641</v>
      </c>
    </row>
    <row r="30" spans="1:15" x14ac:dyDescent="0.3">
      <c r="A30" s="6">
        <v>8253242879</v>
      </c>
      <c r="B30" s="6">
        <f>COUNTIF('Daily Activity Cleaned'!$A$2:$B$941,'Q1-8 (By Id)'!A30)</f>
        <v>19</v>
      </c>
      <c r="C30" s="6" t="str">
        <f t="shared" si="0"/>
        <v>Moderate</v>
      </c>
      <c r="D30" s="8">
        <f ca="1">AVERAGEIF('Daily Activity Cleaned'!$A$2:$F$941,'Q1-8 (By Id)'!A30,'Daily Activity Cleaned'!$F$2:$F$941)</f>
        <v>4.6673684684853809</v>
      </c>
      <c r="E30" s="6" t="str">
        <f t="shared" ca="1" si="1"/>
        <v>Beginner</v>
      </c>
      <c r="F30" s="6">
        <f ca="1">SUMIF('Daily Activity Cleaned'!$A$2:$E$941,'Q1-8 (By Id)'!A30,'Daily Activity Cleaned'!$E$2:$E$941)</f>
        <v>123161</v>
      </c>
      <c r="G30" s="8">
        <f t="shared" ca="1" si="2"/>
        <v>6482.1578947368425</v>
      </c>
      <c r="H30" s="6">
        <f ca="1">SUMIF('Daily Activity Cleaned'!$A$2:$J$941,'Q1-8 (By Id)'!A30,'Daily Activity Cleaned'!$J$2:$J$941)</f>
        <v>33972</v>
      </c>
      <c r="I30" s="8">
        <f t="shared" ca="1" si="3"/>
        <v>1788</v>
      </c>
      <c r="J30" s="8">
        <f ca="1">AVERAGEIF('Daily Activity Cleaned'!$A$2:$I$941,'Q1-8 (By Id)'!A30,'Daily Activity Cleaned'!$I$2:$I$941)</f>
        <v>116.89473684210526</v>
      </c>
      <c r="K30" s="8">
        <f ca="1">AVERAGEIF('Daily Activity Cleaned'!$A$2:$H$941,'Q1-8 (By Id)'!A30,'Daily Activity Cleaned'!$H$2:$H$941)</f>
        <v>14.315789473684211</v>
      </c>
      <c r="L30" s="2">
        <f ca="1">AVERAGEIF('Daily Activity Cleaned'!$A$2:$G$941,'Q1-8 (By Id)'!A30,'Daily Activity Cleaned'!$G$2:$G$941)</f>
        <v>20.526315789473685</v>
      </c>
    </row>
    <row r="31" spans="1:15" x14ac:dyDescent="0.3">
      <c r="A31" s="6">
        <v>8378563200</v>
      </c>
      <c r="B31" s="6">
        <f>COUNTIF('Daily Activity Cleaned'!$A$2:$B$941,'Q1-8 (By Id)'!A31)</f>
        <v>31</v>
      </c>
      <c r="C31" s="6" t="str">
        <f t="shared" si="0"/>
        <v>Active</v>
      </c>
      <c r="D31" s="8">
        <f ca="1">AVERAGEIF('Daily Activity Cleaned'!$A$2:$F$941,'Q1-8 (By Id)'!A31,'Daily Activity Cleaned'!$F$2:$F$941)</f>
        <v>6.9135484618525318</v>
      </c>
      <c r="E31" s="6" t="str">
        <f t="shared" ca="1" si="1"/>
        <v>Intermediate</v>
      </c>
      <c r="F31" s="6">
        <f ca="1">SUMIF('Daily Activity Cleaned'!$A$2:$E$941,'Q1-8 (By Id)'!A31,'Daily Activity Cleaned'!$E$2:$E$941)</f>
        <v>270249</v>
      </c>
      <c r="G31" s="8">
        <f t="shared" ca="1" si="2"/>
        <v>8717.7096774193542</v>
      </c>
      <c r="H31" s="6">
        <f ca="1">SUMIF('Daily Activity Cleaned'!$A$2:$J$941,'Q1-8 (By Id)'!A31,'Daily Activity Cleaned'!$J$2:$J$941)</f>
        <v>106534</v>
      </c>
      <c r="I31" s="8">
        <f t="shared" ca="1" si="3"/>
        <v>3436.5806451612902</v>
      </c>
      <c r="J31" s="8">
        <f ca="1">AVERAGEIF('Daily Activity Cleaned'!$A$2:$I$941,'Q1-8 (By Id)'!A31,'Daily Activity Cleaned'!$I$2:$I$941)</f>
        <v>156.09677419354838</v>
      </c>
      <c r="K31" s="8">
        <f ca="1">AVERAGEIF('Daily Activity Cleaned'!$A$2:$H$941,'Q1-8 (By Id)'!A31,'Daily Activity Cleaned'!$H$2:$H$941)</f>
        <v>10.258064516129032</v>
      </c>
      <c r="L31" s="2">
        <f ca="1">AVERAGEIF('Daily Activity Cleaned'!$A$2:$G$941,'Q1-8 (By Id)'!A31,'Daily Activity Cleaned'!$G$2:$G$941)</f>
        <v>58.677419354838712</v>
      </c>
    </row>
    <row r="32" spans="1:15" x14ac:dyDescent="0.3">
      <c r="A32" s="6">
        <v>8583815059</v>
      </c>
      <c r="B32" s="6">
        <f>COUNTIF('Daily Activity Cleaned'!$A$2:$B$941,'Q1-8 (By Id)'!A32)</f>
        <v>31</v>
      </c>
      <c r="C32" s="6" t="str">
        <f t="shared" si="0"/>
        <v>Active</v>
      </c>
      <c r="D32" s="8">
        <f ca="1">AVERAGEIF('Daily Activity Cleaned'!$A$2:$F$941,'Q1-8 (By Id)'!A32,'Daily Activity Cleaned'!$F$2:$F$941)</f>
        <v>5.6154838223611172</v>
      </c>
      <c r="E32" s="6" t="str">
        <f t="shared" ca="1" si="1"/>
        <v>Intermediate</v>
      </c>
      <c r="F32" s="6">
        <f ca="1">SUMIF('Daily Activity Cleaned'!$A$2:$E$941,'Q1-8 (By Id)'!A32,'Daily Activity Cleaned'!$E$2:$E$941)</f>
        <v>223154</v>
      </c>
      <c r="G32" s="8">
        <f t="shared" ca="1" si="2"/>
        <v>7198.5161290322585</v>
      </c>
      <c r="H32" s="6">
        <f ca="1">SUMIF('Daily Activity Cleaned'!$A$2:$J$941,'Q1-8 (By Id)'!A32,'Daily Activity Cleaned'!$J$2:$J$941)</f>
        <v>84693</v>
      </c>
      <c r="I32" s="8">
        <f t="shared" ca="1" si="3"/>
        <v>2732.0322580645161</v>
      </c>
      <c r="J32" s="8">
        <f ca="1">AVERAGEIF('Daily Activity Cleaned'!$A$2:$I$941,'Q1-8 (By Id)'!A32,'Daily Activity Cleaned'!$I$2:$I$941)</f>
        <v>138.29032258064515</v>
      </c>
      <c r="K32" s="8">
        <f ca="1">AVERAGEIF('Daily Activity Cleaned'!$A$2:$H$941,'Q1-8 (By Id)'!A32,'Daily Activity Cleaned'!$H$2:$H$941)</f>
        <v>22.193548387096776</v>
      </c>
      <c r="L32" s="2">
        <f ca="1">AVERAGEIF('Daily Activity Cleaned'!$A$2:$G$941,'Q1-8 (By Id)'!A32,'Daily Activity Cleaned'!$G$2:$G$941)</f>
        <v>9.67741935483871</v>
      </c>
    </row>
    <row r="33" spans="1:12" x14ac:dyDescent="0.3">
      <c r="A33" s="6">
        <v>8792009665</v>
      </c>
      <c r="B33" s="6">
        <f>COUNTIF('Daily Activity Cleaned'!$A$2:$B$941,'Q1-8 (By Id)'!A33)</f>
        <v>29</v>
      </c>
      <c r="C33" s="6" t="str">
        <f t="shared" si="0"/>
        <v>Active</v>
      </c>
      <c r="D33" s="8">
        <f ca="1">AVERAGEIF('Daily Activity Cleaned'!$A$2:$F$941,'Q1-8 (By Id)'!A33,'Daily Activity Cleaned'!$F$2:$F$941)</f>
        <v>1.1865517168209478</v>
      </c>
      <c r="E33" s="6" t="str">
        <f t="shared" ca="1" si="1"/>
        <v>Beginner</v>
      </c>
      <c r="F33" s="6">
        <f ca="1">SUMIF('Daily Activity Cleaned'!$A$2:$E$941,'Q1-8 (By Id)'!A33,'Daily Activity Cleaned'!$E$2:$E$941)</f>
        <v>53758</v>
      </c>
      <c r="G33" s="8">
        <f t="shared" ca="1" si="2"/>
        <v>1853.7241379310344</v>
      </c>
      <c r="H33" s="6">
        <f ca="1">SUMIF('Daily Activity Cleaned'!$A$2:$J$941,'Q1-8 (By Id)'!A33,'Daily Activity Cleaned'!$J$2:$J$941)</f>
        <v>56907</v>
      </c>
      <c r="I33" s="8">
        <f t="shared" ca="1" si="3"/>
        <v>1962.3103448275863</v>
      </c>
      <c r="J33" s="8">
        <f ca="1">AVERAGEIF('Daily Activity Cleaned'!$A$2:$I$941,'Q1-8 (By Id)'!A33,'Daily Activity Cleaned'!$I$2:$I$941)</f>
        <v>91.793103448275858</v>
      </c>
      <c r="K33" s="8">
        <f ca="1">AVERAGEIF('Daily Activity Cleaned'!$A$2:$H$941,'Q1-8 (By Id)'!A33,'Daily Activity Cleaned'!$H$2:$H$941)</f>
        <v>4.0344827586206895</v>
      </c>
      <c r="L33" s="2">
        <f ca="1">AVERAGEIF('Daily Activity Cleaned'!$A$2:$G$941,'Q1-8 (By Id)'!A33,'Daily Activity Cleaned'!$G$2:$G$941)</f>
        <v>0.96551724137931039</v>
      </c>
    </row>
    <row r="34" spans="1:12" x14ac:dyDescent="0.3">
      <c r="A34" s="7">
        <v>8877689391</v>
      </c>
      <c r="B34" s="7">
        <f>COUNTIF('Daily Activity Cleaned'!$A$2:$B$941,'Q1-8 (By Id)'!A34)</f>
        <v>31</v>
      </c>
      <c r="C34" s="7" t="str">
        <f t="shared" si="0"/>
        <v>Active</v>
      </c>
      <c r="D34" s="9">
        <f ca="1">AVERAGEIF('Daily Activity Cleaned'!$A$2:$F$941,'Q1-8 (By Id)'!A34,'Daily Activity Cleaned'!$F$2:$F$941)</f>
        <v>13.212903138129944</v>
      </c>
      <c r="E34" s="7" t="str">
        <f t="shared" ca="1" si="1"/>
        <v>Pro</v>
      </c>
      <c r="F34" s="7">
        <f ca="1">SUMIF('Daily Activity Cleaned'!$A$2:$E$941,'Q1-8 (By Id)'!A34,'Daily Activity Cleaned'!$E$2:$E$941)</f>
        <v>497241</v>
      </c>
      <c r="G34" s="9">
        <f t="shared" ca="1" si="2"/>
        <v>16040.032258064517</v>
      </c>
      <c r="H34" s="7">
        <f ca="1">SUMIF('Daily Activity Cleaned'!$A$2:$J$941,'Q1-8 (By Id)'!A34,'Daily Activity Cleaned'!$J$2:$J$941)</f>
        <v>106028</v>
      </c>
      <c r="I34" s="9">
        <f t="shared" ca="1" si="3"/>
        <v>3420.2580645161293</v>
      </c>
      <c r="J34" s="9">
        <f ca="1">AVERAGEIF('Daily Activity Cleaned'!$A$2:$I$941,'Q1-8 (By Id)'!A34,'Daily Activity Cleaned'!$I$2:$I$941)</f>
        <v>234.70967741935485</v>
      </c>
      <c r="K34" s="9">
        <f ca="1">AVERAGEIF('Daily Activity Cleaned'!$A$2:$H$941,'Q1-8 (By Id)'!A34,'Daily Activity Cleaned'!$H$2:$H$941)</f>
        <v>9.935483870967742</v>
      </c>
      <c r="L34" s="3">
        <f ca="1">AVERAGEIF('Daily Activity Cleaned'!$A$2:$G$941,'Q1-8 (By Id)'!A34,'Daily Activity Cleaned'!$G$2:$G$941)</f>
        <v>66.064516129032256</v>
      </c>
    </row>
  </sheetData>
  <mergeCells count="1">
    <mergeCell ref="N2:O17"/>
  </mergeCells>
  <conditionalFormatting sqref="C2:C34">
    <cfRule type="containsText" dxfId="11" priority="4" operator="containsText" text="Moderate">
      <formula>NOT(ISERROR(SEARCH("Moderate",C2)))</formula>
    </cfRule>
    <cfRule type="containsText" dxfId="10" priority="5" operator="containsText" text="Light">
      <formula>NOT(ISERROR(SEARCH("Light",C2)))</formula>
    </cfRule>
    <cfRule type="containsText" dxfId="9" priority="6" operator="containsText" text="Active">
      <formula>NOT(ISERROR(SEARCH("Active",C2)))</formula>
    </cfRule>
  </conditionalFormatting>
  <conditionalFormatting sqref="E2:E34">
    <cfRule type="containsText" dxfId="8" priority="1" operator="containsText" text="Intermediate">
      <formula>NOT(ISERROR(SEARCH("Intermediate",E2)))</formula>
    </cfRule>
    <cfRule type="containsText" dxfId="7" priority="2" operator="containsText" text="Beginner">
      <formula>NOT(ISERROR(SEARCH("Beginner",E2)))</formula>
    </cfRule>
    <cfRule type="containsText" dxfId="6" priority="3" operator="containsText" text="Pro">
      <formula>NOT(ISERROR(SEARCH("Pro",E2)))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B3BB5-B168-4E4A-AA8E-C722BF51B292}">
  <dimension ref="A1:P32"/>
  <sheetViews>
    <sheetView showGridLines="0" workbookViewId="0"/>
  </sheetViews>
  <sheetFormatPr defaultColWidth="10.44140625" defaultRowHeight="14.4" x14ac:dyDescent="0.3"/>
  <cols>
    <col min="1" max="1" width="10.33203125" bestFit="1" customWidth="1"/>
    <col min="2" max="2" width="10.77734375" bestFit="1" customWidth="1"/>
    <col min="3" max="3" width="15.33203125" bestFit="1" customWidth="1"/>
    <col min="4" max="4" width="15.5546875" bestFit="1" customWidth="1"/>
    <col min="5" max="5" width="12.21875" bestFit="1" customWidth="1"/>
    <col min="6" max="6" width="9.77734375" bestFit="1" customWidth="1"/>
    <col min="7" max="7" width="12.88671875" bestFit="1" customWidth="1"/>
    <col min="8" max="8" width="11.77734375" bestFit="1" customWidth="1"/>
    <col min="9" max="9" width="15" bestFit="1" customWidth="1"/>
    <col min="10" max="10" width="18.5546875" bestFit="1" customWidth="1"/>
    <col min="11" max="11" width="17.44140625" bestFit="1" customWidth="1"/>
    <col min="12" max="12" width="16.77734375" bestFit="1" customWidth="1"/>
    <col min="13" max="13" width="3.109375" customWidth="1"/>
    <col min="14" max="14" width="11.6640625" customWidth="1"/>
    <col min="15" max="15" width="12.21875" customWidth="1"/>
    <col min="16" max="16" width="11.109375" customWidth="1"/>
  </cols>
  <sheetData>
    <row r="1" spans="1:16" x14ac:dyDescent="0.3">
      <c r="A1" s="12" t="s">
        <v>28</v>
      </c>
      <c r="B1" s="12" t="s">
        <v>29</v>
      </c>
      <c r="C1" s="12" t="s">
        <v>33</v>
      </c>
      <c r="D1" s="12" t="s">
        <v>19</v>
      </c>
      <c r="E1" s="12" t="s">
        <v>32</v>
      </c>
      <c r="F1" s="12" t="s">
        <v>2</v>
      </c>
      <c r="G1" s="12" t="s">
        <v>30</v>
      </c>
      <c r="H1" s="12" t="s">
        <v>22</v>
      </c>
      <c r="I1" s="12" t="s">
        <v>31</v>
      </c>
      <c r="J1" s="12" t="s">
        <v>24</v>
      </c>
      <c r="K1" s="12" t="s">
        <v>25</v>
      </c>
      <c r="L1" s="13" t="s">
        <v>26</v>
      </c>
    </row>
    <row r="2" spans="1:16" ht="14.4" customHeight="1" x14ac:dyDescent="0.3">
      <c r="A2" s="10">
        <v>42472</v>
      </c>
      <c r="B2" s="6">
        <v>33</v>
      </c>
      <c r="C2" s="6" t="str">
        <f>IF(B2&lt;26, "Low", IF(B2&gt;30, "High", "Moderate"))</f>
        <v>High</v>
      </c>
      <c r="D2" s="8">
        <v>5.9827272485602991</v>
      </c>
      <c r="E2" s="6" t="str">
        <f>IF(D2&lt;4, "Low", IF(D2&gt;5.5, "High", "Moderate"))</f>
        <v>High</v>
      </c>
      <c r="F2" s="6">
        <v>271816</v>
      </c>
      <c r="G2" s="8">
        <v>8236.8484848484841</v>
      </c>
      <c r="H2" s="6">
        <v>78893</v>
      </c>
      <c r="I2" s="8">
        <v>2390.6969696969695</v>
      </c>
      <c r="J2" s="8">
        <v>199</v>
      </c>
      <c r="K2" s="8">
        <v>7.8484848484848486</v>
      </c>
      <c r="L2" s="2">
        <v>22.303030303030305</v>
      </c>
      <c r="N2" s="29" t="s">
        <v>35</v>
      </c>
      <c r="O2" s="30"/>
      <c r="P2" s="31"/>
    </row>
    <row r="3" spans="1:16" x14ac:dyDescent="0.3">
      <c r="A3" s="10">
        <v>42473</v>
      </c>
      <c r="B3" s="6">
        <v>33</v>
      </c>
      <c r="C3" s="6" t="str">
        <f t="shared" ref="C3:C32" si="0">IF(B3&lt;26, "Low", IF(B3&gt;30, "High", "Moderate"))</f>
        <v>High</v>
      </c>
      <c r="D3" s="8">
        <v>5.1033333160660481</v>
      </c>
      <c r="E3" s="6" t="str">
        <f t="shared" ref="E3:E32" si="1">IF(D3&lt;4, "Low", IF(D3&gt;5.5, "High", "Moderate"))</f>
        <v>Moderate</v>
      </c>
      <c r="F3" s="6">
        <v>237558</v>
      </c>
      <c r="G3" s="8">
        <v>7198.727272727273</v>
      </c>
      <c r="H3" s="6">
        <v>75459</v>
      </c>
      <c r="I3" s="8">
        <v>2286.6363636363635</v>
      </c>
      <c r="J3" s="8">
        <v>181.75757575757575</v>
      </c>
      <c r="K3" s="8">
        <v>10.575757575757576</v>
      </c>
      <c r="L3" s="2">
        <v>20.333333333333332</v>
      </c>
      <c r="N3" s="32"/>
      <c r="O3" s="33"/>
      <c r="P3" s="34"/>
    </row>
    <row r="4" spans="1:16" x14ac:dyDescent="0.3">
      <c r="A4" s="10">
        <v>42474</v>
      </c>
      <c r="B4" s="6">
        <v>33</v>
      </c>
      <c r="C4" s="6" t="str">
        <f t="shared" si="0"/>
        <v>High</v>
      </c>
      <c r="D4" s="8">
        <v>5.5993939624591302</v>
      </c>
      <c r="E4" s="6" t="str">
        <f t="shared" si="1"/>
        <v>High</v>
      </c>
      <c r="F4" s="6">
        <v>255538</v>
      </c>
      <c r="G4" s="8">
        <v>7743.575757575758</v>
      </c>
      <c r="H4" s="6">
        <v>77761</v>
      </c>
      <c r="I4" s="8">
        <v>2356.3939393939395</v>
      </c>
      <c r="J4" s="8">
        <v>201</v>
      </c>
      <c r="K4" s="8">
        <v>12.393939393939394</v>
      </c>
      <c r="L4" s="2">
        <v>20.939393939393938</v>
      </c>
      <c r="N4" s="32"/>
      <c r="O4" s="33"/>
      <c r="P4" s="34"/>
    </row>
    <row r="5" spans="1:16" x14ac:dyDescent="0.3">
      <c r="A5" s="10">
        <v>42475</v>
      </c>
      <c r="B5" s="6">
        <v>33</v>
      </c>
      <c r="C5" s="6" t="str">
        <f t="shared" si="0"/>
        <v>High</v>
      </c>
      <c r="D5" s="8">
        <v>5.2878787770415796</v>
      </c>
      <c r="E5" s="6" t="str">
        <f t="shared" si="1"/>
        <v>Moderate</v>
      </c>
      <c r="F5" s="6">
        <v>248617</v>
      </c>
      <c r="G5" s="8">
        <v>7533.848484848485</v>
      </c>
      <c r="H5" s="6">
        <v>77721</v>
      </c>
      <c r="I5" s="8">
        <v>2355.181818181818</v>
      </c>
      <c r="J5" s="8">
        <v>213.84848484848484</v>
      </c>
      <c r="K5" s="8">
        <v>9.8787878787878789</v>
      </c>
      <c r="L5" s="2">
        <v>19.181818181818183</v>
      </c>
      <c r="N5" s="32"/>
      <c r="O5" s="33"/>
      <c r="P5" s="34"/>
    </row>
    <row r="6" spans="1:16" x14ac:dyDescent="0.3">
      <c r="A6" s="10">
        <v>42476</v>
      </c>
      <c r="B6" s="6">
        <v>32</v>
      </c>
      <c r="C6" s="6" t="str">
        <f t="shared" si="0"/>
        <v>High</v>
      </c>
      <c r="D6" s="8">
        <v>6.2915625174646248</v>
      </c>
      <c r="E6" s="6" t="str">
        <f t="shared" si="1"/>
        <v>High</v>
      </c>
      <c r="F6" s="6">
        <v>277733</v>
      </c>
      <c r="G6" s="8">
        <v>8679.15625</v>
      </c>
      <c r="H6" s="6">
        <v>76574</v>
      </c>
      <c r="I6" s="8">
        <v>2392.9375</v>
      </c>
      <c r="J6" s="8">
        <v>193.8125</v>
      </c>
      <c r="K6" s="8">
        <v>15.125</v>
      </c>
      <c r="L6" s="2">
        <v>27.84375</v>
      </c>
      <c r="N6" s="32"/>
      <c r="O6" s="33"/>
      <c r="P6" s="34"/>
    </row>
    <row r="7" spans="1:16" x14ac:dyDescent="0.3">
      <c r="A7" s="10">
        <v>42477</v>
      </c>
      <c r="B7" s="6">
        <v>32</v>
      </c>
      <c r="C7" s="6" t="str">
        <f t="shared" si="0"/>
        <v>High</v>
      </c>
      <c r="D7" s="8">
        <v>4.5406249602674507</v>
      </c>
      <c r="E7" s="6" t="str">
        <f t="shared" si="1"/>
        <v>Moderate</v>
      </c>
      <c r="F7" s="6">
        <v>205096</v>
      </c>
      <c r="G7" s="8">
        <v>6409.25</v>
      </c>
      <c r="H7" s="6">
        <v>71391</v>
      </c>
      <c r="I7" s="8">
        <v>2230.96875</v>
      </c>
      <c r="J7" s="8">
        <v>165.34375</v>
      </c>
      <c r="K7" s="8">
        <v>11.84375</v>
      </c>
      <c r="L7" s="2">
        <v>18.90625</v>
      </c>
      <c r="N7" s="32"/>
      <c r="O7" s="33"/>
      <c r="P7" s="34"/>
    </row>
    <row r="8" spans="1:16" x14ac:dyDescent="0.3">
      <c r="A8" s="10">
        <v>42478</v>
      </c>
      <c r="B8" s="6">
        <v>32</v>
      </c>
      <c r="C8" s="6" t="str">
        <f t="shared" si="0"/>
        <v>High</v>
      </c>
      <c r="D8" s="8">
        <v>5.657812474993988</v>
      </c>
      <c r="E8" s="6" t="str">
        <f t="shared" si="1"/>
        <v>High</v>
      </c>
      <c r="F8" s="6">
        <v>252703</v>
      </c>
      <c r="G8" s="8">
        <v>7896.96875</v>
      </c>
      <c r="H8" s="6">
        <v>74668</v>
      </c>
      <c r="I8" s="8">
        <v>2333.375</v>
      </c>
      <c r="J8" s="8">
        <v>188.28125</v>
      </c>
      <c r="K8" s="8">
        <v>16.125</v>
      </c>
      <c r="L8" s="2">
        <v>24.40625</v>
      </c>
      <c r="N8" s="32"/>
      <c r="O8" s="33"/>
      <c r="P8" s="34"/>
    </row>
    <row r="9" spans="1:16" x14ac:dyDescent="0.3">
      <c r="A9" s="10">
        <v>42479</v>
      </c>
      <c r="B9" s="6">
        <v>32</v>
      </c>
      <c r="C9" s="6" t="str">
        <f t="shared" si="0"/>
        <v>High</v>
      </c>
      <c r="D9" s="8">
        <v>5.8718749247491324</v>
      </c>
      <c r="E9" s="6" t="str">
        <f t="shared" si="1"/>
        <v>High</v>
      </c>
      <c r="F9" s="6">
        <v>257557</v>
      </c>
      <c r="G9" s="8">
        <v>8048.65625</v>
      </c>
      <c r="H9" s="6">
        <v>75491</v>
      </c>
      <c r="I9" s="8">
        <v>2359.09375</v>
      </c>
      <c r="J9" s="8">
        <v>201.90625</v>
      </c>
      <c r="K9" s="8">
        <v>13.78125</v>
      </c>
      <c r="L9" s="2">
        <v>23.96875</v>
      </c>
      <c r="N9" s="32"/>
      <c r="O9" s="33"/>
      <c r="P9" s="34"/>
    </row>
    <row r="10" spans="1:16" x14ac:dyDescent="0.3">
      <c r="A10" s="10">
        <v>42480</v>
      </c>
      <c r="B10" s="6">
        <v>32</v>
      </c>
      <c r="C10" s="6" t="str">
        <f t="shared" si="0"/>
        <v>High</v>
      </c>
      <c r="D10" s="8">
        <v>5.9503125439514415</v>
      </c>
      <c r="E10" s="6" t="str">
        <f t="shared" si="1"/>
        <v>High</v>
      </c>
      <c r="F10" s="6">
        <v>261215</v>
      </c>
      <c r="G10" s="8">
        <v>8162.96875</v>
      </c>
      <c r="H10" s="6">
        <v>76647</v>
      </c>
      <c r="I10" s="8">
        <v>2395.21875</v>
      </c>
      <c r="J10" s="8">
        <v>203.59375</v>
      </c>
      <c r="K10" s="8">
        <v>18.75</v>
      </c>
      <c r="L10" s="2">
        <v>24.1875</v>
      </c>
      <c r="N10" s="32"/>
      <c r="O10" s="33"/>
      <c r="P10" s="34"/>
    </row>
    <row r="11" spans="1:16" x14ac:dyDescent="0.3">
      <c r="A11" s="10">
        <v>42481</v>
      </c>
      <c r="B11" s="6">
        <v>32</v>
      </c>
      <c r="C11" s="6" t="str">
        <f t="shared" si="0"/>
        <v>High</v>
      </c>
      <c r="D11" s="8">
        <v>6.030000067315993</v>
      </c>
      <c r="E11" s="6" t="str">
        <f t="shared" si="1"/>
        <v>High</v>
      </c>
      <c r="F11" s="6">
        <v>263795</v>
      </c>
      <c r="G11" s="8">
        <v>8243.59375</v>
      </c>
      <c r="H11" s="6">
        <v>77500</v>
      </c>
      <c r="I11" s="8">
        <v>2421.875</v>
      </c>
      <c r="J11" s="8">
        <v>182.65625</v>
      </c>
      <c r="K11" s="8">
        <v>14.9375</v>
      </c>
      <c r="L11" s="2">
        <v>26.84375</v>
      </c>
      <c r="N11" s="32"/>
      <c r="O11" s="33"/>
      <c r="P11" s="34"/>
    </row>
    <row r="12" spans="1:16" x14ac:dyDescent="0.3">
      <c r="A12" s="10">
        <v>42482</v>
      </c>
      <c r="B12" s="6">
        <v>32</v>
      </c>
      <c r="C12" s="6" t="str">
        <f t="shared" si="0"/>
        <v>High</v>
      </c>
      <c r="D12" s="8">
        <v>5.3278124725911784</v>
      </c>
      <c r="E12" s="6" t="str">
        <f t="shared" si="1"/>
        <v>Moderate</v>
      </c>
      <c r="F12" s="6">
        <v>238284</v>
      </c>
      <c r="G12" s="8">
        <v>7446.375</v>
      </c>
      <c r="H12" s="6">
        <v>74485</v>
      </c>
      <c r="I12" s="8">
        <v>2327.65625</v>
      </c>
      <c r="J12" s="8">
        <v>195.53125</v>
      </c>
      <c r="K12" s="8">
        <v>13.25</v>
      </c>
      <c r="L12" s="2">
        <v>24.4375</v>
      </c>
      <c r="N12" s="32"/>
      <c r="O12" s="33"/>
      <c r="P12" s="34"/>
    </row>
    <row r="13" spans="1:16" x14ac:dyDescent="0.3">
      <c r="A13" s="10">
        <v>42483</v>
      </c>
      <c r="B13" s="6">
        <v>32</v>
      </c>
      <c r="C13" s="6" t="str">
        <f t="shared" si="0"/>
        <v>High</v>
      </c>
      <c r="D13" s="8">
        <v>5.8412500396370906</v>
      </c>
      <c r="E13" s="6" t="str">
        <f t="shared" si="1"/>
        <v>High</v>
      </c>
      <c r="F13" s="6">
        <v>267124</v>
      </c>
      <c r="G13" s="8">
        <v>8347.625</v>
      </c>
      <c r="H13" s="6">
        <v>76709</v>
      </c>
      <c r="I13" s="8">
        <v>2397.15625</v>
      </c>
      <c r="J13" s="8">
        <v>232.90625</v>
      </c>
      <c r="K13" s="8">
        <v>15.03125</v>
      </c>
      <c r="L13" s="2">
        <v>18.78125</v>
      </c>
      <c r="N13" s="32"/>
      <c r="O13" s="33"/>
      <c r="P13" s="34"/>
    </row>
    <row r="14" spans="1:16" x14ac:dyDescent="0.3">
      <c r="A14" s="10">
        <v>42484</v>
      </c>
      <c r="B14" s="6">
        <v>32</v>
      </c>
      <c r="C14" s="6" t="str">
        <f t="shared" si="0"/>
        <v>High</v>
      </c>
      <c r="D14" s="8">
        <v>5.4675000272691285</v>
      </c>
      <c r="E14" s="6" t="str">
        <f t="shared" si="1"/>
        <v>Moderate</v>
      </c>
      <c r="F14" s="6">
        <v>236621</v>
      </c>
      <c r="G14" s="8">
        <v>7394.40625</v>
      </c>
      <c r="H14" s="6">
        <v>73326</v>
      </c>
      <c r="I14" s="8">
        <v>2291.4375</v>
      </c>
      <c r="J14" s="8">
        <v>186.3125</v>
      </c>
      <c r="K14" s="8">
        <v>13.71875</v>
      </c>
      <c r="L14" s="2">
        <v>21.03125</v>
      </c>
      <c r="N14" s="32"/>
      <c r="O14" s="33"/>
      <c r="P14" s="34"/>
    </row>
    <row r="15" spans="1:16" x14ac:dyDescent="0.3">
      <c r="A15" s="10">
        <v>42485</v>
      </c>
      <c r="B15" s="6">
        <v>32</v>
      </c>
      <c r="C15" s="6" t="str">
        <f t="shared" si="0"/>
        <v>High</v>
      </c>
      <c r="D15" s="8">
        <v>5.6328125181607911</v>
      </c>
      <c r="E15" s="6" t="str">
        <f t="shared" si="1"/>
        <v>High</v>
      </c>
      <c r="F15" s="6">
        <v>253849</v>
      </c>
      <c r="G15" s="8">
        <v>7932.78125</v>
      </c>
      <c r="H15" s="6">
        <v>75186</v>
      </c>
      <c r="I15" s="8">
        <v>2349.5625</v>
      </c>
      <c r="J15" s="8">
        <v>192.875</v>
      </c>
      <c r="K15" s="8">
        <v>11.375</v>
      </c>
      <c r="L15" s="2">
        <v>28.40625</v>
      </c>
      <c r="N15" s="32"/>
      <c r="O15" s="33"/>
      <c r="P15" s="34"/>
    </row>
    <row r="16" spans="1:16" x14ac:dyDescent="0.3">
      <c r="A16" s="10">
        <v>42486</v>
      </c>
      <c r="B16" s="6">
        <v>32</v>
      </c>
      <c r="C16" s="6" t="str">
        <f t="shared" si="0"/>
        <v>High</v>
      </c>
      <c r="D16" s="8">
        <v>5.5346875265240651</v>
      </c>
      <c r="E16" s="6" t="str">
        <f t="shared" si="1"/>
        <v>High</v>
      </c>
      <c r="F16" s="6">
        <v>250688</v>
      </c>
      <c r="G16" s="8">
        <v>7834</v>
      </c>
      <c r="H16" s="6">
        <v>74604</v>
      </c>
      <c r="I16" s="8">
        <v>2331.375</v>
      </c>
      <c r="J16" s="8">
        <v>200.25</v>
      </c>
      <c r="K16" s="8">
        <v>17.625</v>
      </c>
      <c r="L16" s="2">
        <v>19.8125</v>
      </c>
      <c r="N16" s="32"/>
      <c r="O16" s="33"/>
      <c r="P16" s="34"/>
    </row>
    <row r="17" spans="1:16" x14ac:dyDescent="0.3">
      <c r="A17" s="10">
        <v>42487</v>
      </c>
      <c r="B17" s="6">
        <v>32</v>
      </c>
      <c r="C17" s="6" t="str">
        <f t="shared" si="0"/>
        <v>High</v>
      </c>
      <c r="D17" s="8">
        <v>5.9153124988079089</v>
      </c>
      <c r="E17" s="6" t="str">
        <f t="shared" si="1"/>
        <v>High</v>
      </c>
      <c r="F17" s="6">
        <v>258516</v>
      </c>
      <c r="G17" s="8">
        <v>8078.625</v>
      </c>
      <c r="H17" s="6">
        <v>74514</v>
      </c>
      <c r="I17" s="8">
        <v>2328.5625</v>
      </c>
      <c r="J17" s="8">
        <v>197.5625</v>
      </c>
      <c r="K17" s="8">
        <v>10.78125</v>
      </c>
      <c r="L17" s="2">
        <v>23.65625</v>
      </c>
      <c r="N17" s="32"/>
      <c r="O17" s="33"/>
      <c r="P17" s="34"/>
    </row>
    <row r="18" spans="1:16" x14ac:dyDescent="0.3">
      <c r="A18" s="10">
        <v>42488</v>
      </c>
      <c r="B18" s="6">
        <v>32</v>
      </c>
      <c r="C18" s="6" t="str">
        <f t="shared" si="0"/>
        <v>High</v>
      </c>
      <c r="D18" s="8">
        <v>5.3615625165402907</v>
      </c>
      <c r="E18" s="6" t="str">
        <f t="shared" si="1"/>
        <v>Moderate</v>
      </c>
      <c r="F18" s="6">
        <v>242996</v>
      </c>
      <c r="G18" s="8">
        <v>7593.625</v>
      </c>
      <c r="H18" s="6">
        <v>74114</v>
      </c>
      <c r="I18" s="8">
        <v>2316.0625</v>
      </c>
      <c r="J18" s="8">
        <v>209.1875</v>
      </c>
      <c r="K18" s="8">
        <v>11.8125</v>
      </c>
      <c r="L18" s="2">
        <v>17.96875</v>
      </c>
      <c r="N18" s="32"/>
      <c r="O18" s="33"/>
      <c r="P18" s="34"/>
    </row>
    <row r="19" spans="1:16" x14ac:dyDescent="0.3">
      <c r="A19" s="10">
        <v>42489</v>
      </c>
      <c r="B19" s="6">
        <v>32</v>
      </c>
      <c r="C19" s="6" t="str">
        <f t="shared" si="0"/>
        <v>High</v>
      </c>
      <c r="D19" s="8">
        <v>5.1812499882071306</v>
      </c>
      <c r="E19" s="6" t="str">
        <f t="shared" si="1"/>
        <v>Moderate</v>
      </c>
      <c r="F19" s="6">
        <v>234289</v>
      </c>
      <c r="G19" s="8">
        <v>7321.53125</v>
      </c>
      <c r="H19" s="6">
        <v>72722</v>
      </c>
      <c r="I19" s="8">
        <v>2272.5625</v>
      </c>
      <c r="J19" s="8">
        <v>204.96875</v>
      </c>
      <c r="K19" s="8">
        <v>14</v>
      </c>
      <c r="L19" s="2">
        <v>16.25</v>
      </c>
      <c r="N19" s="32"/>
      <c r="O19" s="33"/>
      <c r="P19" s="34"/>
    </row>
    <row r="20" spans="1:16" x14ac:dyDescent="0.3">
      <c r="A20" s="10">
        <v>42490</v>
      </c>
      <c r="B20" s="6">
        <v>31</v>
      </c>
      <c r="C20" s="6" t="str">
        <f t="shared" si="0"/>
        <v>High</v>
      </c>
      <c r="D20" s="8">
        <v>6.1006451037622274</v>
      </c>
      <c r="E20" s="6" t="str">
        <f t="shared" si="1"/>
        <v>High</v>
      </c>
      <c r="F20" s="6">
        <v>258726</v>
      </c>
      <c r="G20" s="8">
        <v>8346</v>
      </c>
      <c r="H20" s="6">
        <v>73592</v>
      </c>
      <c r="I20" s="8">
        <v>2373.9354838709678</v>
      </c>
      <c r="J20" s="8">
        <v>218.54838709677421</v>
      </c>
      <c r="K20" s="8">
        <v>16.548387096774192</v>
      </c>
      <c r="L20" s="2">
        <v>20.258064516129032</v>
      </c>
      <c r="N20" s="32"/>
      <c r="O20" s="33"/>
      <c r="P20" s="34"/>
    </row>
    <row r="21" spans="1:16" x14ac:dyDescent="0.3">
      <c r="A21" s="10">
        <v>42491</v>
      </c>
      <c r="B21" s="6">
        <v>30</v>
      </c>
      <c r="C21" s="6" t="str">
        <f t="shared" si="0"/>
        <v>Moderate</v>
      </c>
      <c r="D21" s="8">
        <v>4.9749999940395355</v>
      </c>
      <c r="E21" s="6" t="str">
        <f t="shared" si="1"/>
        <v>Moderate</v>
      </c>
      <c r="F21" s="6">
        <v>206870</v>
      </c>
      <c r="G21" s="8">
        <v>6895.666666666667</v>
      </c>
      <c r="H21" s="6">
        <v>66913</v>
      </c>
      <c r="I21" s="8">
        <v>2230.4333333333334</v>
      </c>
      <c r="J21" s="8">
        <v>160.26666666666668</v>
      </c>
      <c r="K21" s="8">
        <v>15.7</v>
      </c>
      <c r="L21" s="2">
        <v>22.633333333333333</v>
      </c>
      <c r="N21" s="32"/>
      <c r="O21" s="33"/>
      <c r="P21" s="34"/>
    </row>
    <row r="22" spans="1:16" x14ac:dyDescent="0.3">
      <c r="A22" s="10">
        <v>42492</v>
      </c>
      <c r="B22" s="6">
        <v>29</v>
      </c>
      <c r="C22" s="6" t="str">
        <f t="shared" si="0"/>
        <v>Moderate</v>
      </c>
      <c r="D22" s="8">
        <v>4.9672413643064184</v>
      </c>
      <c r="E22" s="6" t="str">
        <f t="shared" si="1"/>
        <v>Moderate</v>
      </c>
      <c r="F22" s="6">
        <v>204434</v>
      </c>
      <c r="G22" s="8">
        <v>7049.4482758620688</v>
      </c>
      <c r="H22" s="6">
        <v>65988</v>
      </c>
      <c r="I22" s="8">
        <v>2275.4482758620688</v>
      </c>
      <c r="J22" s="8">
        <v>186.82758620689654</v>
      </c>
      <c r="K22" s="8">
        <v>13.172413793103448</v>
      </c>
      <c r="L22" s="2">
        <v>16.068965517241381</v>
      </c>
      <c r="N22" s="32"/>
      <c r="O22" s="33"/>
      <c r="P22" s="34"/>
    </row>
    <row r="23" spans="1:16" x14ac:dyDescent="0.3">
      <c r="A23" s="10">
        <v>42493</v>
      </c>
      <c r="B23" s="6">
        <v>29</v>
      </c>
      <c r="C23" s="6" t="str">
        <f t="shared" si="0"/>
        <v>Moderate</v>
      </c>
      <c r="D23" s="8">
        <v>6.0944827448833614</v>
      </c>
      <c r="E23" s="6" t="str">
        <f t="shared" si="1"/>
        <v>High</v>
      </c>
      <c r="F23" s="6">
        <v>248203</v>
      </c>
      <c r="G23" s="8">
        <v>8558.7241379310344</v>
      </c>
      <c r="H23" s="6">
        <v>71163</v>
      </c>
      <c r="I23" s="8">
        <v>2453.8965517241381</v>
      </c>
      <c r="J23" s="8">
        <v>203.34482758620689</v>
      </c>
      <c r="K23" s="8">
        <v>14.827586206896552</v>
      </c>
      <c r="L23" s="2">
        <v>24.931034482758619</v>
      </c>
      <c r="N23" s="32"/>
      <c r="O23" s="33"/>
      <c r="P23" s="34"/>
    </row>
    <row r="24" spans="1:16" x14ac:dyDescent="0.3">
      <c r="A24" s="10">
        <v>42494</v>
      </c>
      <c r="B24" s="6">
        <v>29</v>
      </c>
      <c r="C24" s="6" t="str">
        <f t="shared" si="0"/>
        <v>Moderate</v>
      </c>
      <c r="D24" s="8">
        <v>4.9403447919878456</v>
      </c>
      <c r="E24" s="6" t="str">
        <f t="shared" si="1"/>
        <v>Moderate</v>
      </c>
      <c r="F24" s="6">
        <v>196149</v>
      </c>
      <c r="G24" s="8">
        <v>6763.7586206896549</v>
      </c>
      <c r="H24" s="6">
        <v>66211</v>
      </c>
      <c r="I24" s="8">
        <v>2283.1379310344828</v>
      </c>
      <c r="J24" s="8">
        <v>179.79310344827587</v>
      </c>
      <c r="K24" s="8">
        <v>11.137931034482758</v>
      </c>
      <c r="L24" s="2">
        <v>13.96551724137931</v>
      </c>
      <c r="N24" s="32"/>
      <c r="O24" s="33"/>
      <c r="P24" s="34"/>
    </row>
    <row r="25" spans="1:16" x14ac:dyDescent="0.3">
      <c r="A25" s="10">
        <v>42495</v>
      </c>
      <c r="B25" s="6">
        <v>29</v>
      </c>
      <c r="C25" s="6" t="str">
        <f t="shared" si="0"/>
        <v>Moderate</v>
      </c>
      <c r="D25" s="8">
        <v>6.2165517437046933</v>
      </c>
      <c r="E25" s="6" t="str">
        <f t="shared" si="1"/>
        <v>High</v>
      </c>
      <c r="F25" s="6">
        <v>253200</v>
      </c>
      <c r="G25" s="8">
        <v>8731.0344827586214</v>
      </c>
      <c r="H25" s="6">
        <v>70037</v>
      </c>
      <c r="I25" s="8">
        <v>2415.0689655172414</v>
      </c>
      <c r="J25" s="8">
        <v>207.24137931034483</v>
      </c>
      <c r="K25" s="8">
        <v>15.448275862068966</v>
      </c>
      <c r="L25" s="2">
        <v>22.068965517241381</v>
      </c>
      <c r="N25" s="32"/>
      <c r="O25" s="33"/>
      <c r="P25" s="34"/>
    </row>
    <row r="26" spans="1:16" x14ac:dyDescent="0.3">
      <c r="A26" s="10">
        <v>42496</v>
      </c>
      <c r="B26" s="6">
        <v>29</v>
      </c>
      <c r="C26" s="6" t="str">
        <f t="shared" si="0"/>
        <v>Moderate</v>
      </c>
      <c r="D26" s="8">
        <v>5.4572413758342639</v>
      </c>
      <c r="E26" s="6" t="str">
        <f t="shared" si="1"/>
        <v>Moderate</v>
      </c>
      <c r="F26" s="6">
        <v>217287</v>
      </c>
      <c r="G26" s="8">
        <v>7492.6551724137935</v>
      </c>
      <c r="H26" s="6">
        <v>68877</v>
      </c>
      <c r="I26" s="8">
        <v>2375.0689655172414</v>
      </c>
      <c r="J26" s="8">
        <v>201.93103448275863</v>
      </c>
      <c r="K26" s="8">
        <v>11.310344827586206</v>
      </c>
      <c r="L26" s="2">
        <v>20.413793103448278</v>
      </c>
      <c r="N26" s="32"/>
      <c r="O26" s="33"/>
      <c r="P26" s="34"/>
    </row>
    <row r="27" spans="1:16" x14ac:dyDescent="0.3">
      <c r="A27" s="10">
        <v>42497</v>
      </c>
      <c r="B27" s="6">
        <v>29</v>
      </c>
      <c r="C27" s="6" t="str">
        <f t="shared" si="0"/>
        <v>Moderate</v>
      </c>
      <c r="D27" s="8">
        <v>5.1244827714459618</v>
      </c>
      <c r="E27" s="6" t="str">
        <f t="shared" si="1"/>
        <v>Moderate</v>
      </c>
      <c r="F27" s="6">
        <v>207386</v>
      </c>
      <c r="G27" s="8">
        <v>7151.2413793103451</v>
      </c>
      <c r="H27" s="6">
        <v>65141</v>
      </c>
      <c r="I27" s="8">
        <v>2246.2413793103447</v>
      </c>
      <c r="J27" s="8">
        <v>181.24137931034483</v>
      </c>
      <c r="K27" s="8">
        <v>14.03448275862069</v>
      </c>
      <c r="L27" s="2">
        <v>20.620689655172413</v>
      </c>
      <c r="N27" s="32"/>
      <c r="O27" s="33"/>
      <c r="P27" s="34"/>
    </row>
    <row r="28" spans="1:16" x14ac:dyDescent="0.3">
      <c r="A28" s="10">
        <v>42498</v>
      </c>
      <c r="B28" s="6">
        <v>27</v>
      </c>
      <c r="C28" s="6" t="str">
        <f t="shared" si="0"/>
        <v>Moderate</v>
      </c>
      <c r="D28" s="8">
        <v>5.1399999812797281</v>
      </c>
      <c r="E28" s="6" t="str">
        <f t="shared" si="1"/>
        <v>Moderate</v>
      </c>
      <c r="F28" s="6">
        <v>190334</v>
      </c>
      <c r="G28" s="8">
        <v>7049.4074074074078</v>
      </c>
      <c r="H28" s="6">
        <v>62193</v>
      </c>
      <c r="I28" s="8">
        <v>2303.4444444444443</v>
      </c>
      <c r="J28" s="8">
        <v>184.81481481481481</v>
      </c>
      <c r="K28" s="8">
        <v>17.37037037037037</v>
      </c>
      <c r="L28" s="2">
        <v>17.074074074074073</v>
      </c>
      <c r="N28" s="32"/>
      <c r="O28" s="33"/>
      <c r="P28" s="34"/>
    </row>
    <row r="29" spans="1:16" x14ac:dyDescent="0.3">
      <c r="A29" s="10">
        <v>42499</v>
      </c>
      <c r="B29" s="6">
        <v>27</v>
      </c>
      <c r="C29" s="6" t="str">
        <f t="shared" si="0"/>
        <v>Moderate</v>
      </c>
      <c r="D29" s="8">
        <v>5.9629629585478066</v>
      </c>
      <c r="E29" s="6" t="str">
        <f t="shared" si="1"/>
        <v>High</v>
      </c>
      <c r="F29" s="6">
        <v>222718</v>
      </c>
      <c r="G29" s="8">
        <v>8248.8148148148157</v>
      </c>
      <c r="H29" s="6">
        <v>63063</v>
      </c>
      <c r="I29" s="8">
        <v>2335.6666666666665</v>
      </c>
      <c r="J29" s="8">
        <v>201.18518518518519</v>
      </c>
      <c r="K29" s="8">
        <v>15.481481481481481</v>
      </c>
      <c r="L29" s="2">
        <v>22.851851851851851</v>
      </c>
      <c r="N29" s="35"/>
      <c r="O29" s="36"/>
      <c r="P29" s="37"/>
    </row>
    <row r="30" spans="1:16" x14ac:dyDescent="0.3">
      <c r="A30" s="10">
        <v>42500</v>
      </c>
      <c r="B30" s="6">
        <v>26</v>
      </c>
      <c r="C30" s="6" t="str">
        <f t="shared" si="0"/>
        <v>Moderate</v>
      </c>
      <c r="D30" s="8">
        <v>5.6661537530330515</v>
      </c>
      <c r="E30" s="6" t="str">
        <f t="shared" si="1"/>
        <v>High</v>
      </c>
      <c r="F30" s="6">
        <v>206737</v>
      </c>
      <c r="G30" s="8">
        <v>7951.4230769230771</v>
      </c>
      <c r="H30" s="6">
        <v>57963</v>
      </c>
      <c r="I30" s="8">
        <v>2229.3461538461538</v>
      </c>
      <c r="J30" s="8">
        <v>179.34615384615384</v>
      </c>
      <c r="K30" s="8">
        <v>18.653846153846153</v>
      </c>
      <c r="L30" s="2">
        <v>24.192307692307693</v>
      </c>
    </row>
    <row r="31" spans="1:16" x14ac:dyDescent="0.3">
      <c r="A31" s="10">
        <v>42501</v>
      </c>
      <c r="B31" s="6">
        <v>24</v>
      </c>
      <c r="C31" s="6" t="str">
        <f t="shared" si="0"/>
        <v>Low</v>
      </c>
      <c r="D31" s="8">
        <v>5.4945833086967468</v>
      </c>
      <c r="E31" s="6" t="str">
        <f t="shared" si="1"/>
        <v>Moderate</v>
      </c>
      <c r="F31" s="6">
        <v>180468</v>
      </c>
      <c r="G31" s="8">
        <v>7519.5</v>
      </c>
      <c r="H31" s="6">
        <v>52562</v>
      </c>
      <c r="I31" s="8">
        <v>2190.0833333333335</v>
      </c>
      <c r="J31" s="8">
        <v>184.54166666666666</v>
      </c>
      <c r="K31" s="8">
        <v>14.5</v>
      </c>
      <c r="L31" s="2">
        <v>21.25</v>
      </c>
    </row>
    <row r="32" spans="1:16" x14ac:dyDescent="0.3">
      <c r="A32" s="11">
        <v>42502</v>
      </c>
      <c r="B32" s="7">
        <v>21</v>
      </c>
      <c r="C32" s="7" t="str">
        <f t="shared" si="0"/>
        <v>Low</v>
      </c>
      <c r="D32" s="9">
        <v>2.4433333211179296</v>
      </c>
      <c r="E32" s="7" t="str">
        <f t="shared" si="1"/>
        <v>Low</v>
      </c>
      <c r="F32" s="7">
        <v>73129</v>
      </c>
      <c r="G32" s="9">
        <v>3482.3333333333335</v>
      </c>
      <c r="H32" s="7">
        <v>23925</v>
      </c>
      <c r="I32" s="9">
        <v>1139.2857142857142</v>
      </c>
      <c r="J32" s="9">
        <v>98.80952380952381</v>
      </c>
      <c r="K32" s="9">
        <v>2.1428571428571428</v>
      </c>
      <c r="L32" s="3">
        <v>4.1904761904761907</v>
      </c>
    </row>
  </sheetData>
  <mergeCells count="1">
    <mergeCell ref="N2:P29"/>
  </mergeCells>
  <conditionalFormatting sqref="C2:C32">
    <cfRule type="containsText" dxfId="5" priority="4" operator="containsText" text="moderate">
      <formula>NOT(ISERROR(SEARCH("moderate",C2)))</formula>
    </cfRule>
    <cfRule type="containsText" dxfId="4" priority="5" operator="containsText" text="low">
      <formula>NOT(ISERROR(SEARCH("low",C2)))</formula>
    </cfRule>
    <cfRule type="containsText" dxfId="3" priority="6" operator="containsText" text="high">
      <formula>NOT(ISERROR(SEARCH("high",C2)))</formula>
    </cfRule>
  </conditionalFormatting>
  <conditionalFormatting sqref="E2:E32">
    <cfRule type="containsText" dxfId="2" priority="1" operator="containsText" text="moderate">
      <formula>NOT(ISERROR(SEARCH("moderate",E2)))</formula>
    </cfRule>
    <cfRule type="containsText" dxfId="1" priority="2" operator="containsText" text="low">
      <formula>NOT(ISERROR(SEARCH("low",E2)))</formula>
    </cfRule>
    <cfRule type="containsText" dxfId="0" priority="3" operator="containsText" text="high">
      <formula>NOT(ISERROR(SEARCH("high",E2)))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D99C8-7686-497B-9186-34B7B987C8A9}">
  <dimension ref="A1"/>
  <sheetViews>
    <sheetView showGridLines="0" showRowColHeaders="0" workbookViewId="0">
      <selection activeCell="B6" sqref="B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7F415-4DBB-4B8A-9B8A-9F7F176CE635}">
  <dimension ref="A1:G32"/>
  <sheetViews>
    <sheetView workbookViewId="0">
      <selection activeCell="C2" sqref="C2"/>
    </sheetView>
  </sheetViews>
  <sheetFormatPr defaultRowHeight="14.4" x14ac:dyDescent="0.3"/>
  <cols>
    <col min="1" max="1" width="10.33203125" bestFit="1" customWidth="1"/>
    <col min="2" max="2" width="15.5546875" bestFit="1" customWidth="1"/>
    <col min="3" max="3" width="15" bestFit="1" customWidth="1"/>
    <col min="4" max="4" width="11.109375" customWidth="1"/>
    <col min="5" max="5" width="10.44140625" bestFit="1" customWidth="1"/>
    <col min="6" max="6" width="15.5546875" bestFit="1" customWidth="1"/>
    <col min="7" max="7" width="15" bestFit="1" customWidth="1"/>
  </cols>
  <sheetData>
    <row r="1" spans="1:7" x14ac:dyDescent="0.3">
      <c r="A1" s="14" t="s">
        <v>28</v>
      </c>
      <c r="B1" t="s">
        <v>49</v>
      </c>
      <c r="C1" t="s">
        <v>50</v>
      </c>
      <c r="E1" s="14" t="s">
        <v>42</v>
      </c>
      <c r="F1" t="s">
        <v>49</v>
      </c>
      <c r="G1" t="s">
        <v>50</v>
      </c>
    </row>
    <row r="2" spans="1:7" x14ac:dyDescent="0.3">
      <c r="A2" s="15">
        <v>42472</v>
      </c>
      <c r="B2" s="38">
        <v>5.9827272485602991</v>
      </c>
      <c r="C2" s="38">
        <v>2390.6969696969695</v>
      </c>
      <c r="E2" s="16" t="s">
        <v>16</v>
      </c>
      <c r="F2" s="38">
        <v>5.5529166602219151</v>
      </c>
      <c r="G2" s="38">
        <v>2324.2083333333335</v>
      </c>
    </row>
    <row r="3" spans="1:7" x14ac:dyDescent="0.3">
      <c r="A3" s="15">
        <v>42473</v>
      </c>
      <c r="B3" s="38">
        <v>5.1033333160660481</v>
      </c>
      <c r="C3" s="38">
        <v>2286.6363636363635</v>
      </c>
      <c r="E3" s="16" t="s">
        <v>10</v>
      </c>
      <c r="F3" s="38">
        <v>5.832236808050717</v>
      </c>
      <c r="G3" s="38">
        <v>2356.0131578947367</v>
      </c>
    </row>
    <row r="4" spans="1:7" x14ac:dyDescent="0.3">
      <c r="A4" s="15">
        <v>42474</v>
      </c>
      <c r="B4" s="38">
        <v>5.5993939624591302</v>
      </c>
      <c r="C4" s="38">
        <v>2356.3939393939395</v>
      </c>
      <c r="E4" s="16" t="s">
        <v>11</v>
      </c>
      <c r="F4" s="38">
        <v>5.4883333278323212</v>
      </c>
      <c r="G4" s="38">
        <v>2302.62</v>
      </c>
    </row>
    <row r="5" spans="1:7" x14ac:dyDescent="0.3">
      <c r="A5" s="15">
        <v>42475</v>
      </c>
      <c r="B5" s="38">
        <v>5.2878787770415796</v>
      </c>
      <c r="C5" s="38">
        <v>2355.181818181818</v>
      </c>
      <c r="E5" s="16" t="s">
        <v>12</v>
      </c>
      <c r="F5" s="38">
        <v>5.3122449235065652</v>
      </c>
      <c r="G5" s="38">
        <v>2199.5714285714284</v>
      </c>
    </row>
    <row r="6" spans="1:7" x14ac:dyDescent="0.3">
      <c r="A6" s="15">
        <v>42476</v>
      </c>
      <c r="B6" s="38">
        <v>6.2915625174646248</v>
      </c>
      <c r="C6" s="38">
        <v>2392.9375</v>
      </c>
      <c r="E6" s="16" t="s">
        <v>13</v>
      </c>
      <c r="F6" s="38">
        <v>5.309920621326282</v>
      </c>
      <c r="G6" s="38">
        <v>2331.7857142857142</v>
      </c>
    </row>
    <row r="7" spans="1:7" x14ac:dyDescent="0.3">
      <c r="A7" s="15">
        <v>42477</v>
      </c>
      <c r="B7" s="38">
        <v>4.5406249602674507</v>
      </c>
      <c r="C7" s="38">
        <v>2230.96875</v>
      </c>
      <c r="E7" s="16" t="s">
        <v>14</v>
      </c>
      <c r="F7" s="38">
        <v>5.8546774227082024</v>
      </c>
      <c r="G7" s="38">
        <v>2354.9677419354839</v>
      </c>
    </row>
    <row r="8" spans="1:7" x14ac:dyDescent="0.3">
      <c r="A8" s="15">
        <v>42478</v>
      </c>
      <c r="B8" s="38">
        <v>5.657812474993988</v>
      </c>
      <c r="C8" s="38">
        <v>2333.375</v>
      </c>
      <c r="E8" s="16" t="s">
        <v>15</v>
      </c>
      <c r="F8" s="38">
        <v>5.0271900736934647</v>
      </c>
      <c r="G8" s="38">
        <v>2263</v>
      </c>
    </row>
    <row r="9" spans="1:7" x14ac:dyDescent="0.3">
      <c r="A9" s="15">
        <v>42479</v>
      </c>
      <c r="B9" s="38">
        <v>5.8718749247491324</v>
      </c>
      <c r="C9" s="38">
        <v>2359.09375</v>
      </c>
    </row>
    <row r="10" spans="1:7" x14ac:dyDescent="0.3">
      <c r="A10" s="15">
        <v>42480</v>
      </c>
      <c r="B10" s="38">
        <v>5.9503125439514415</v>
      </c>
      <c r="C10" s="38">
        <v>2395.21875</v>
      </c>
    </row>
    <row r="11" spans="1:7" x14ac:dyDescent="0.3">
      <c r="A11" s="15">
        <v>42481</v>
      </c>
      <c r="B11" s="38">
        <v>6.030000067315993</v>
      </c>
      <c r="C11" s="38">
        <v>2421.875</v>
      </c>
    </row>
    <row r="12" spans="1:7" x14ac:dyDescent="0.3">
      <c r="A12" s="15">
        <v>42482</v>
      </c>
      <c r="B12" s="38">
        <v>5.3278124725911784</v>
      </c>
      <c r="C12" s="38">
        <v>2327.65625</v>
      </c>
    </row>
    <row r="13" spans="1:7" x14ac:dyDescent="0.3">
      <c r="A13" s="15">
        <v>42483</v>
      </c>
      <c r="B13" s="38">
        <v>5.8412500396370906</v>
      </c>
      <c r="C13" s="38">
        <v>2397.15625</v>
      </c>
    </row>
    <row r="14" spans="1:7" x14ac:dyDescent="0.3">
      <c r="A14" s="15">
        <v>42484</v>
      </c>
      <c r="B14" s="38">
        <v>5.4675000272691285</v>
      </c>
      <c r="C14" s="38">
        <v>2291.4375</v>
      </c>
    </row>
    <row r="15" spans="1:7" x14ac:dyDescent="0.3">
      <c r="A15" s="15">
        <v>42485</v>
      </c>
      <c r="B15" s="38">
        <v>5.6328125181607911</v>
      </c>
      <c r="C15" s="38">
        <v>2349.5625</v>
      </c>
    </row>
    <row r="16" spans="1:7" x14ac:dyDescent="0.3">
      <c r="A16" s="15">
        <v>42486</v>
      </c>
      <c r="B16" s="38">
        <v>5.5346875265240651</v>
      </c>
      <c r="C16" s="38">
        <v>2331.375</v>
      </c>
    </row>
    <row r="17" spans="1:3" x14ac:dyDescent="0.3">
      <c r="A17" s="15">
        <v>42487</v>
      </c>
      <c r="B17" s="38">
        <v>5.9153124988079089</v>
      </c>
      <c r="C17" s="38">
        <v>2328.5625</v>
      </c>
    </row>
    <row r="18" spans="1:3" x14ac:dyDescent="0.3">
      <c r="A18" s="15">
        <v>42488</v>
      </c>
      <c r="B18" s="38">
        <v>5.3615625165402907</v>
      </c>
      <c r="C18" s="38">
        <v>2316.0625</v>
      </c>
    </row>
    <row r="19" spans="1:3" x14ac:dyDescent="0.3">
      <c r="A19" s="15">
        <v>42489</v>
      </c>
      <c r="B19" s="38">
        <v>5.1812499882071306</v>
      </c>
      <c r="C19" s="38">
        <v>2272.5625</v>
      </c>
    </row>
    <row r="20" spans="1:3" x14ac:dyDescent="0.3">
      <c r="A20" s="15">
        <v>42490</v>
      </c>
      <c r="B20" s="38">
        <v>6.1006451037622274</v>
      </c>
      <c r="C20" s="38">
        <v>2373.9354838709678</v>
      </c>
    </row>
    <row r="21" spans="1:3" x14ac:dyDescent="0.3">
      <c r="A21" s="15">
        <v>42491</v>
      </c>
      <c r="B21" s="38">
        <v>4.9749999940395355</v>
      </c>
      <c r="C21" s="38">
        <v>2230.4333333333334</v>
      </c>
    </row>
    <row r="22" spans="1:3" x14ac:dyDescent="0.3">
      <c r="A22" s="15">
        <v>42492</v>
      </c>
      <c r="B22" s="38">
        <v>4.9672413643064184</v>
      </c>
      <c r="C22" s="38">
        <v>2275.4482758620688</v>
      </c>
    </row>
    <row r="23" spans="1:3" x14ac:dyDescent="0.3">
      <c r="A23" s="15">
        <v>42493</v>
      </c>
      <c r="B23" s="38">
        <v>6.0944827448833614</v>
      </c>
      <c r="C23" s="38">
        <v>2453.8965517241381</v>
      </c>
    </row>
    <row r="24" spans="1:3" x14ac:dyDescent="0.3">
      <c r="A24" s="15">
        <v>42494</v>
      </c>
      <c r="B24" s="38">
        <v>4.9403447919878456</v>
      </c>
      <c r="C24" s="38">
        <v>2283.1379310344828</v>
      </c>
    </row>
    <row r="25" spans="1:3" x14ac:dyDescent="0.3">
      <c r="A25" s="15">
        <v>42495</v>
      </c>
      <c r="B25" s="38">
        <v>6.2165517437046933</v>
      </c>
      <c r="C25" s="38">
        <v>2415.0689655172414</v>
      </c>
    </row>
    <row r="26" spans="1:3" x14ac:dyDescent="0.3">
      <c r="A26" s="15">
        <v>42496</v>
      </c>
      <c r="B26" s="38">
        <v>5.4572413758342639</v>
      </c>
      <c r="C26" s="38">
        <v>2375.0689655172414</v>
      </c>
    </row>
    <row r="27" spans="1:3" x14ac:dyDescent="0.3">
      <c r="A27" s="15">
        <v>42497</v>
      </c>
      <c r="B27" s="38">
        <v>5.1244827714459618</v>
      </c>
      <c r="C27" s="38">
        <v>2246.2413793103447</v>
      </c>
    </row>
    <row r="28" spans="1:3" x14ac:dyDescent="0.3">
      <c r="A28" s="15">
        <v>42498</v>
      </c>
      <c r="B28" s="38">
        <v>5.1399999812797281</v>
      </c>
      <c r="C28" s="38">
        <v>2303.4444444444443</v>
      </c>
    </row>
    <row r="29" spans="1:3" x14ac:dyDescent="0.3">
      <c r="A29" s="15">
        <v>42499</v>
      </c>
      <c r="B29" s="38">
        <v>5.9629629585478066</v>
      </c>
      <c r="C29" s="38">
        <v>2335.6666666666665</v>
      </c>
    </row>
    <row r="30" spans="1:3" x14ac:dyDescent="0.3">
      <c r="A30" s="15">
        <v>42500</v>
      </c>
      <c r="B30" s="38">
        <v>5.6661537530330515</v>
      </c>
      <c r="C30" s="38">
        <v>2229.3461538461538</v>
      </c>
    </row>
    <row r="31" spans="1:3" x14ac:dyDescent="0.3">
      <c r="A31" s="15">
        <v>42501</v>
      </c>
      <c r="B31" s="38">
        <v>5.4945833086967468</v>
      </c>
      <c r="C31" s="38">
        <v>2190.0833333333335</v>
      </c>
    </row>
    <row r="32" spans="1:3" x14ac:dyDescent="0.3">
      <c r="A32" s="15">
        <v>42502</v>
      </c>
      <c r="B32" s="38">
        <v>2.4433333211179296</v>
      </c>
      <c r="C32" s="38">
        <v>1139.2857142857142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4F30D-2F56-4042-B3BB-CC416D89348C}">
  <dimension ref="A1:I6"/>
  <sheetViews>
    <sheetView workbookViewId="0">
      <selection activeCell="H2" sqref="H2"/>
    </sheetView>
  </sheetViews>
  <sheetFormatPr defaultRowHeight="14.4" x14ac:dyDescent="0.3"/>
  <cols>
    <col min="1" max="1" width="12.5546875" bestFit="1" customWidth="1"/>
    <col min="2" max="2" width="10.44140625" bestFit="1" customWidth="1"/>
    <col min="3" max="3" width="9.33203125" customWidth="1"/>
    <col min="4" max="4" width="12.5546875" bestFit="1" customWidth="1"/>
    <col min="5" max="5" width="10.44140625" bestFit="1" customWidth="1"/>
    <col min="7" max="7" width="11" bestFit="1" customWidth="1"/>
    <col min="8" max="8" width="19.88671875" bestFit="1" customWidth="1"/>
    <col min="9" max="9" width="22" bestFit="1" customWidth="1"/>
  </cols>
  <sheetData>
    <row r="1" spans="1:9" x14ac:dyDescent="0.3">
      <c r="A1" s="14" t="s">
        <v>43</v>
      </c>
      <c r="B1" t="s">
        <v>44</v>
      </c>
      <c r="D1" s="14" t="s">
        <v>45</v>
      </c>
      <c r="E1" t="s">
        <v>44</v>
      </c>
      <c r="G1" s="14" t="s">
        <v>46</v>
      </c>
      <c r="H1" t="s">
        <v>47</v>
      </c>
      <c r="I1" t="s">
        <v>48</v>
      </c>
    </row>
    <row r="2" spans="1:9" x14ac:dyDescent="0.3">
      <c r="A2" s="16" t="s">
        <v>36</v>
      </c>
      <c r="B2">
        <v>29</v>
      </c>
      <c r="D2" s="16" t="s">
        <v>39</v>
      </c>
      <c r="E2">
        <v>14</v>
      </c>
      <c r="G2" s="16">
        <v>7007744171</v>
      </c>
      <c r="H2" s="28">
        <v>11323.423076923076</v>
      </c>
      <c r="I2" s="28">
        <v>2544</v>
      </c>
    </row>
    <row r="3" spans="1:9" x14ac:dyDescent="0.3">
      <c r="A3" s="16" t="s">
        <v>37</v>
      </c>
      <c r="B3">
        <v>1</v>
      </c>
      <c r="D3" s="16" t="s">
        <v>40</v>
      </c>
      <c r="E3">
        <v>17</v>
      </c>
      <c r="G3" s="16">
        <v>2022484408</v>
      </c>
      <c r="H3" s="28">
        <v>11370.645161290322</v>
      </c>
      <c r="I3" s="28">
        <v>2509.9677419354839</v>
      </c>
    </row>
    <row r="4" spans="1:9" x14ac:dyDescent="0.3">
      <c r="A4" s="16" t="s">
        <v>38</v>
      </c>
      <c r="B4">
        <v>3</v>
      </c>
      <c r="D4" s="16" t="s">
        <v>41</v>
      </c>
      <c r="E4">
        <v>2</v>
      </c>
      <c r="G4" s="16">
        <v>1503960366</v>
      </c>
      <c r="H4" s="28">
        <v>12116.741935483871</v>
      </c>
      <c r="I4" s="28">
        <v>1816.4193548387098</v>
      </c>
    </row>
    <row r="5" spans="1:9" x14ac:dyDescent="0.3">
      <c r="G5" s="16">
        <v>8053475328</v>
      </c>
      <c r="H5" s="28">
        <v>14763.290322580646</v>
      </c>
      <c r="I5" s="28">
        <v>2945.8064516129034</v>
      </c>
    </row>
    <row r="6" spans="1:9" x14ac:dyDescent="0.3">
      <c r="G6" s="16">
        <v>8877689391</v>
      </c>
      <c r="H6" s="28">
        <v>16040.032258064517</v>
      </c>
      <c r="I6" s="28">
        <v>3420.2580645161293</v>
      </c>
    </row>
  </sheetData>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3D5508-9F1E-453A-94B6-7C0A8C3E67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Daily Activity Cleaned</vt:lpstr>
      <vt:lpstr>Q1-8 (By Id)</vt:lpstr>
      <vt:lpstr>Q1-8 (By Date)</vt:lpstr>
      <vt:lpstr>Dashboard</vt:lpstr>
      <vt:lpstr>Pivot Table 1</vt:lpstr>
      <vt:lpstr>Pivot Table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dc:creator>
  <cp:lastModifiedBy>Deepak Bhatt</cp:lastModifiedBy>
  <dcterms:created xsi:type="dcterms:W3CDTF">2015-06-05T18:17:20Z</dcterms:created>
  <dcterms:modified xsi:type="dcterms:W3CDTF">2024-05-12T17:14:20Z</dcterms:modified>
</cp:coreProperties>
</file>